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4p3\Documents\ujep\AVD1\"/>
    </mc:Choice>
  </mc:AlternateContent>
  <xr:revisionPtr revIDLastSave="0" documentId="8_{A9537DCB-5C9F-43F5-B602-49820E696D19}" xr6:coauthVersionLast="47" xr6:coauthVersionMax="47" xr10:uidLastSave="{00000000-0000-0000-0000-000000000000}"/>
  <bookViews>
    <workbookView xWindow="-108" yWindow="-108" windowWidth="23256" windowHeight="13896" xr2:uid="{3B1E7F64-D83B-CA4A-99DC-8903637F8D7D}"/>
  </bookViews>
  <sheets>
    <sheet name="EXERCIS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M15" i="1"/>
  <c r="N15" i="1"/>
  <c r="O15" i="1"/>
  <c r="P15" i="1"/>
  <c r="Q15" i="1"/>
  <c r="R15" i="1"/>
  <c r="S15" i="1"/>
  <c r="T15" i="1"/>
  <c r="U15" i="1"/>
  <c r="V15" i="1"/>
  <c r="W15" i="1"/>
  <c r="X15" i="1"/>
  <c r="K15" i="1"/>
  <c r="Y4" i="1"/>
  <c r="Y14" i="1"/>
  <c r="Y13" i="1"/>
  <c r="Y12" i="1"/>
  <c r="Y11" i="1"/>
  <c r="Y10" i="1"/>
  <c r="Y9" i="1"/>
  <c r="Y8" i="1"/>
  <c r="Y7" i="1"/>
  <c r="Y6" i="1"/>
  <c r="Y5" i="1"/>
  <c r="Y15" i="1" l="1"/>
  <c r="K24" i="1"/>
  <c r="K23" i="1"/>
  <c r="K28" i="1"/>
  <c r="K25" i="1"/>
  <c r="K29" i="1"/>
  <c r="K22" i="1"/>
  <c r="K21" i="1"/>
  <c r="K20" i="1"/>
  <c r="K19" i="1"/>
  <c r="K27" i="1"/>
  <c r="K26" i="1"/>
</calcChain>
</file>

<file path=xl/sharedStrings.xml><?xml version="1.0" encoding="utf-8"?>
<sst xmlns="http://schemas.openxmlformats.org/spreadsheetml/2006/main" count="53" uniqueCount="29">
  <si>
    <t>DATA TO GRAPH</t>
  </si>
  <si>
    <t>2017 Q1</t>
  </si>
  <si>
    <t>2017 Q2</t>
  </si>
  <si>
    <t>2017 Q3</t>
  </si>
  <si>
    <t>REGIONAL AVG</t>
  </si>
  <si>
    <t>2019 Q3</t>
  </si>
  <si>
    <t>2019 Q2</t>
  </si>
  <si>
    <t>2019 Q1</t>
  </si>
  <si>
    <t>2017 Q4</t>
  </si>
  <si>
    <t>BEACON</t>
  </si>
  <si>
    <t>FILMORE</t>
  </si>
  <si>
    <t>LAKESIDE</t>
  </si>
  <si>
    <t>OAKLEY</t>
  </si>
  <si>
    <t>NORTH</t>
  </si>
  <si>
    <t>PIERCE</t>
  </si>
  <si>
    <t>SEALY</t>
  </si>
  <si>
    <t>SOUTHLAKE</t>
  </si>
  <si>
    <t>WESTLAKE</t>
  </si>
  <si>
    <t>WILDLAND</t>
  </si>
  <si>
    <t>MARE VALLEY</t>
  </si>
  <si>
    <t>ORLY</t>
  </si>
  <si>
    <t>DRAPER</t>
  </si>
  <si>
    <t>ROSEDALE</t>
  </si>
  <si>
    <t>2018 Q1</t>
  </si>
  <si>
    <t>2018 Q2</t>
  </si>
  <si>
    <t>2018 Q3</t>
  </si>
  <si>
    <t>2018 Q4</t>
  </si>
  <si>
    <t>GRAPH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</si>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</sst>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theme="5"/>
      <name val="Arial"/>
      <family val="2"/>
    </font>
    <font>
      <sz val="12"/>
      <color rgb="FFFF0000"/>
      <name val="Arial"/>
      <family val="2"/>
    </font>
    <font>
      <sz val="12"/>
      <color theme="1" tint="0.249977111117893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/>
    <xf numFmtId="0" fontId="0" fillId="0" borderId="2" xfId="0" applyBorder="1"/>
    <xf numFmtId="0" fontId="0" fillId="3" borderId="0" xfId="0" applyFill="1"/>
    <xf numFmtId="0" fontId="7" fillId="3" borderId="0" xfId="0" applyFont="1" applyFill="1"/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4" fillId="2" borderId="0" xfId="0" applyFont="1" applyFill="1"/>
    <xf numFmtId="0" fontId="5" fillId="2" borderId="0" xfId="0" applyFont="1" applyFill="1"/>
    <xf numFmtId="0" fontId="6" fillId="0" borderId="2" xfId="0" applyFont="1" applyBorder="1"/>
    <xf numFmtId="0" fontId="3" fillId="0" borderId="3" xfId="0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0432FF"/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Breast Cancer Screening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'[1]Pre Transfusion HGB Averages'!$C$32</c:f>
              <c:strCache>
                <c:ptCount val="1"/>
                <c:pt idx="0">
                  <c:v>DOWNEY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Averages'!$C$33:$C$34</c:f>
              <c:numCache>
                <c:formatCode>General</c:formatCode>
                <c:ptCount val="2"/>
                <c:pt idx="0">
                  <c:v>7.6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2-D844-8752-774849A060DB}"/>
            </c:ext>
          </c:extLst>
        </c:ser>
        <c:ser>
          <c:idx val="1"/>
          <c:order val="1"/>
          <c:tx>
            <c:strRef>
              <c:f>'[1]Pre Transfusion HGB Averages'!$D$32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Averages'!$D$33:$D$34</c:f>
              <c:numCache>
                <c:formatCode>General</c:formatCode>
                <c:ptCount val="2"/>
                <c:pt idx="0">
                  <c:v>7.3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72-D844-8752-774849A060DB}"/>
            </c:ext>
          </c:extLst>
        </c:ser>
        <c:ser>
          <c:idx val="2"/>
          <c:order val="2"/>
          <c:tx>
            <c:strRef>
              <c:f>'[1]Pre Transfusion HGB Averages'!$E$32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Averages'!$E$33:$E$34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72-D844-8752-774849A060DB}"/>
            </c:ext>
          </c:extLst>
        </c:ser>
        <c:ser>
          <c:idx val="3"/>
          <c:order val="3"/>
          <c:tx>
            <c:strRef>
              <c:f>'[1]Pre Transfusion HGB Averages'!$F$32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Averages'!$F$33:$F$34</c:f>
              <c:numCache>
                <c:formatCode>General</c:formatCode>
                <c:ptCount val="2"/>
                <c:pt idx="0">
                  <c:v>7.5</c:v>
                </c:pt>
                <c:pt idx="1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72-D844-8752-774849A060DB}"/>
            </c:ext>
          </c:extLst>
        </c:ser>
        <c:ser>
          <c:idx val="4"/>
          <c:order val="4"/>
          <c:tx>
            <c:strRef>
              <c:f>'[1]Pre Transfusion HGB Averages'!$G$32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Averages'!$G$33:$G$34</c:f>
              <c:numCache>
                <c:formatCode>General</c:formatCode>
                <c:ptCount val="2"/>
                <c:pt idx="0">
                  <c:v>7.7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72-D844-8752-774849A060DB}"/>
            </c:ext>
          </c:extLst>
        </c:ser>
        <c:ser>
          <c:idx val="5"/>
          <c:order val="5"/>
          <c:tx>
            <c:strRef>
              <c:f>'[1]Pre Transfusion HGB Averages'!$H$32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Averages'!$H$33:$H$34</c:f>
              <c:numCache>
                <c:formatCode>General</c:formatCode>
                <c:ptCount val="2"/>
                <c:pt idx="0">
                  <c:v>8</c:v>
                </c:pt>
                <c:pt idx="1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72-D844-8752-774849A060DB}"/>
            </c:ext>
          </c:extLst>
        </c:ser>
        <c:ser>
          <c:idx val="6"/>
          <c:order val="6"/>
          <c:tx>
            <c:strRef>
              <c:f>'[1]Pre Transfusion HGB Averages'!$I$32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Averages'!$I$33:$I$34</c:f>
              <c:numCache>
                <c:formatCode>General</c:formatCode>
                <c:ptCount val="2"/>
                <c:pt idx="0">
                  <c:v>7.7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72-D844-8752-774849A060DB}"/>
            </c:ext>
          </c:extLst>
        </c:ser>
        <c:ser>
          <c:idx val="7"/>
          <c:order val="7"/>
          <c:tx>
            <c:strRef>
              <c:f>'[1]Pre Transfusion HGB Averages'!$J$32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Averages'!$J$33:$J$34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72-D844-8752-774849A060DB}"/>
            </c:ext>
          </c:extLst>
        </c:ser>
        <c:ser>
          <c:idx val="8"/>
          <c:order val="8"/>
          <c:tx>
            <c:strRef>
              <c:f>'[1]Pre Transfusion HGB Averages'!$K$32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Averages'!$K$33:$K$34</c:f>
              <c:numCache>
                <c:formatCode>General</c:formatCode>
                <c:ptCount val="2"/>
                <c:pt idx="0">
                  <c:v>7.5</c:v>
                </c:pt>
                <c:pt idx="1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72-D844-8752-774849A060DB}"/>
            </c:ext>
          </c:extLst>
        </c:ser>
        <c:ser>
          <c:idx val="9"/>
          <c:order val="9"/>
          <c:tx>
            <c:strRef>
              <c:f>'[1]Pre Transfusion HGB Averages'!$L$32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9FFFF"/>
              </a:solidFill>
              <a:ln>
                <a:solidFill>
                  <a:srgbClr val="69FF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Averages'!$M$33:$M$34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72-D844-8752-774849A060DB}"/>
            </c:ext>
          </c:extLst>
        </c:ser>
        <c:ser>
          <c:idx val="10"/>
          <c:order val="10"/>
          <c:tx>
            <c:strRef>
              <c:f>'[1]Pre Transfusion HGB Averages'!$N$32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Averages'!$N$33:$N$34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72-D844-8752-774849A060DB}"/>
            </c:ext>
          </c:extLst>
        </c:ser>
        <c:ser>
          <c:idx val="11"/>
          <c:order val="11"/>
          <c:tx>
            <c:strRef>
              <c:f>'[1]Pre Transfusion HGB Averages'!$O$32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Averages'!$O$33:$O$34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72-D844-8752-774849A060DB}"/>
            </c:ext>
          </c:extLst>
        </c:ser>
        <c:ser>
          <c:idx val="12"/>
          <c:order val="12"/>
          <c:tx>
            <c:strRef>
              <c:f>'[1]Pre Transfusion HGB Averages'!$P$32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A6CAF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Averages'!$P$33:$P$34</c:f>
              <c:numCache>
                <c:formatCode>General</c:formatCode>
                <c:ptCount val="2"/>
                <c:pt idx="0">
                  <c:v>7.6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72-D844-8752-774849A0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172072"/>
        <c:axId val="2102180392"/>
      </c:lineChart>
      <c:catAx>
        <c:axId val="2102172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End of Rolling Time Period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2102180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2180392"/>
        <c:scaling>
          <c:orientation val="minMax"/>
          <c:max val="9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Eligible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2102172072"/>
        <c:crosses val="autoZero"/>
        <c:crossBetween val="between"/>
      </c:valAx>
      <c:spPr>
        <a:solidFill>
          <a:srgbClr val="E3E3E3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Quarterly</a:t>
            </a:r>
            <a:r>
              <a:rPr lang="en-US" b="1" baseline="0"/>
              <a:t> </a:t>
            </a:r>
            <a:r>
              <a:rPr lang="en-US" b="1"/>
              <a:t>Car Sales by Dealership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EXERCISE!$K$3</c:f>
              <c:strCache>
                <c:ptCount val="1"/>
                <c:pt idx="0">
                  <c:v>BEACON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EXERCISE!$K$4:$K$14</c:f>
              <c:numCache>
                <c:formatCode>General</c:formatCode>
                <c:ptCount val="11"/>
                <c:pt idx="0">
                  <c:v>69</c:v>
                </c:pt>
                <c:pt idx="1">
                  <c:v>77</c:v>
                </c:pt>
                <c:pt idx="2">
                  <c:v>63</c:v>
                </c:pt>
                <c:pt idx="3">
                  <c:v>61</c:v>
                </c:pt>
                <c:pt idx="4">
                  <c:v>67</c:v>
                </c:pt>
                <c:pt idx="5">
                  <c:v>67</c:v>
                </c:pt>
                <c:pt idx="6">
                  <c:v>57</c:v>
                </c:pt>
                <c:pt idx="7">
                  <c:v>62</c:v>
                </c:pt>
                <c:pt idx="8">
                  <c:v>68</c:v>
                </c:pt>
                <c:pt idx="9">
                  <c:v>61</c:v>
                </c:pt>
                <c:pt idx="10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D-4140-AAEF-51A563EA76F0}"/>
            </c:ext>
          </c:extLst>
        </c:ser>
        <c:ser>
          <c:idx val="1"/>
          <c:order val="1"/>
          <c:tx>
            <c:strRef>
              <c:f>EXERCISE!$L$3</c:f>
              <c:strCache>
                <c:ptCount val="1"/>
                <c:pt idx="0">
                  <c:v>DRAPER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EXERCISE!$L$4:$L$14</c:f>
              <c:numCache>
                <c:formatCode>General</c:formatCode>
                <c:ptCount val="11"/>
                <c:pt idx="0">
                  <c:v>130</c:v>
                </c:pt>
                <c:pt idx="1">
                  <c:v>86</c:v>
                </c:pt>
                <c:pt idx="2">
                  <c:v>90</c:v>
                </c:pt>
                <c:pt idx="3">
                  <c:v>100</c:v>
                </c:pt>
                <c:pt idx="4">
                  <c:v>106</c:v>
                </c:pt>
                <c:pt idx="5">
                  <c:v>91</c:v>
                </c:pt>
                <c:pt idx="6">
                  <c:v>89</c:v>
                </c:pt>
                <c:pt idx="7">
                  <c:v>87</c:v>
                </c:pt>
                <c:pt idx="8">
                  <c:v>93</c:v>
                </c:pt>
                <c:pt idx="9">
                  <c:v>96</c:v>
                </c:pt>
                <c:pt idx="10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D-4140-AAEF-51A563EA76F0}"/>
            </c:ext>
          </c:extLst>
        </c:ser>
        <c:ser>
          <c:idx val="2"/>
          <c:order val="2"/>
          <c:tx>
            <c:strRef>
              <c:f>EXERCISE!$M$3</c:f>
              <c:strCache>
                <c:ptCount val="1"/>
                <c:pt idx="0">
                  <c:v>FILMORE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EXERCISE!$M$4:$M$14</c:f>
              <c:numCache>
                <c:formatCode>General</c:formatCode>
                <c:ptCount val="11"/>
                <c:pt idx="0">
                  <c:v>85</c:v>
                </c:pt>
                <c:pt idx="1">
                  <c:v>97</c:v>
                </c:pt>
                <c:pt idx="2">
                  <c:v>92</c:v>
                </c:pt>
                <c:pt idx="3">
                  <c:v>95</c:v>
                </c:pt>
                <c:pt idx="4">
                  <c:v>92</c:v>
                </c:pt>
                <c:pt idx="5">
                  <c:v>83</c:v>
                </c:pt>
                <c:pt idx="6">
                  <c:v>103</c:v>
                </c:pt>
                <c:pt idx="7">
                  <c:v>109</c:v>
                </c:pt>
                <c:pt idx="8">
                  <c:v>94</c:v>
                </c:pt>
                <c:pt idx="9">
                  <c:v>104</c:v>
                </c:pt>
                <c:pt idx="1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4D-4140-AAEF-51A563EA76F0}"/>
            </c:ext>
          </c:extLst>
        </c:ser>
        <c:ser>
          <c:idx val="3"/>
          <c:order val="3"/>
          <c:tx>
            <c:strRef>
              <c:f>EXERCISE!$N$3</c:f>
              <c:strCache>
                <c:ptCount val="1"/>
                <c:pt idx="0">
                  <c:v>LAKESIDE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EXERCISE!$N$4:$N$14</c:f>
              <c:numCache>
                <c:formatCode>General</c:formatCode>
                <c:ptCount val="11"/>
                <c:pt idx="0">
                  <c:v>117</c:v>
                </c:pt>
                <c:pt idx="1">
                  <c:v>107</c:v>
                </c:pt>
                <c:pt idx="2">
                  <c:v>127</c:v>
                </c:pt>
                <c:pt idx="3">
                  <c:v>132</c:v>
                </c:pt>
                <c:pt idx="4">
                  <c:v>145</c:v>
                </c:pt>
                <c:pt idx="5">
                  <c:v>112</c:v>
                </c:pt>
                <c:pt idx="6">
                  <c:v>107</c:v>
                </c:pt>
                <c:pt idx="7">
                  <c:v>95</c:v>
                </c:pt>
                <c:pt idx="8">
                  <c:v>126</c:v>
                </c:pt>
                <c:pt idx="9">
                  <c:v>133</c:v>
                </c:pt>
                <c:pt idx="10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4D-4140-AAEF-51A563EA76F0}"/>
            </c:ext>
          </c:extLst>
        </c:ser>
        <c:ser>
          <c:idx val="4"/>
          <c:order val="4"/>
          <c:tx>
            <c:strRef>
              <c:f>EXERCISE!$O$3</c:f>
              <c:strCache>
                <c:ptCount val="1"/>
                <c:pt idx="0">
                  <c:v>MARE VALLEY</c:v>
                </c:pt>
              </c:strCache>
            </c:strRef>
          </c:tx>
          <c:spPr>
            <a:ln w="19050" cap="rnd">
              <a:solidFill>
                <a:srgbClr val="FF2F9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2F92"/>
              </a:solidFill>
              <a:ln w="9525">
                <a:solidFill>
                  <a:srgbClr val="FF2F92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EXERCISE!$O$4:$O$14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21</c:v>
                </c:pt>
                <c:pt idx="4">
                  <c:v>21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21</c:v>
                </c:pt>
                <c:pt idx="9">
                  <c:v>13</c:v>
                </c:pt>
                <c:pt idx="1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4D-4140-AAEF-51A563EA76F0}"/>
            </c:ext>
          </c:extLst>
        </c:ser>
        <c:ser>
          <c:idx val="5"/>
          <c:order val="5"/>
          <c:tx>
            <c:strRef>
              <c:f>EXERCISE!$P$3</c:f>
              <c:strCache>
                <c:ptCount val="1"/>
                <c:pt idx="0">
                  <c:v>NORTH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EXERCISE!$P$4:$P$14</c:f>
              <c:numCache>
                <c:formatCode>General</c:formatCode>
                <c:ptCount val="11"/>
                <c:pt idx="0">
                  <c:v>74</c:v>
                </c:pt>
                <c:pt idx="1">
                  <c:v>71</c:v>
                </c:pt>
                <c:pt idx="2">
                  <c:v>68</c:v>
                </c:pt>
                <c:pt idx="3">
                  <c:v>72</c:v>
                </c:pt>
                <c:pt idx="4">
                  <c:v>69</c:v>
                </c:pt>
                <c:pt idx="5">
                  <c:v>71</c:v>
                </c:pt>
                <c:pt idx="6">
                  <c:v>56</c:v>
                </c:pt>
                <c:pt idx="7">
                  <c:v>66</c:v>
                </c:pt>
                <c:pt idx="8">
                  <c:v>83</c:v>
                </c:pt>
                <c:pt idx="9">
                  <c:v>79</c:v>
                </c:pt>
                <c:pt idx="1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4D-4140-AAEF-51A563EA76F0}"/>
            </c:ext>
          </c:extLst>
        </c:ser>
        <c:ser>
          <c:idx val="6"/>
          <c:order val="6"/>
          <c:tx>
            <c:strRef>
              <c:f>EXERCISE!$Q$3</c:f>
              <c:strCache>
                <c:ptCount val="1"/>
                <c:pt idx="0">
                  <c:v>OAKLEY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EXERCISE!$Q$4:$Q$14</c:f>
              <c:numCache>
                <c:formatCode>General</c:formatCode>
                <c:ptCount val="11"/>
                <c:pt idx="0">
                  <c:v>61</c:v>
                </c:pt>
                <c:pt idx="1">
                  <c:v>55</c:v>
                </c:pt>
                <c:pt idx="2">
                  <c:v>55</c:v>
                </c:pt>
                <c:pt idx="3">
                  <c:v>72</c:v>
                </c:pt>
                <c:pt idx="4">
                  <c:v>79</c:v>
                </c:pt>
                <c:pt idx="5">
                  <c:v>60</c:v>
                </c:pt>
                <c:pt idx="6">
                  <c:v>42</c:v>
                </c:pt>
                <c:pt idx="7">
                  <c:v>44</c:v>
                </c:pt>
                <c:pt idx="8">
                  <c:v>65</c:v>
                </c:pt>
                <c:pt idx="9">
                  <c:v>80</c:v>
                </c:pt>
                <c:pt idx="1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4D-4140-AAEF-51A563EA76F0}"/>
            </c:ext>
          </c:extLst>
        </c:ser>
        <c:ser>
          <c:idx val="7"/>
          <c:order val="7"/>
          <c:tx>
            <c:strRef>
              <c:f>EXERCISE!$R$3</c:f>
              <c:strCache>
                <c:ptCount val="1"/>
                <c:pt idx="0">
                  <c:v>ORLY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EXERCISE!$R$4:$R$14</c:f>
              <c:numCache>
                <c:formatCode>General</c:formatCode>
                <c:ptCount val="11"/>
                <c:pt idx="0">
                  <c:v>51</c:v>
                </c:pt>
                <c:pt idx="1">
                  <c:v>61</c:v>
                </c:pt>
                <c:pt idx="2">
                  <c:v>67</c:v>
                </c:pt>
                <c:pt idx="3">
                  <c:v>51</c:v>
                </c:pt>
                <c:pt idx="4">
                  <c:v>51</c:v>
                </c:pt>
                <c:pt idx="5">
                  <c:v>66</c:v>
                </c:pt>
                <c:pt idx="6">
                  <c:v>52</c:v>
                </c:pt>
                <c:pt idx="7">
                  <c:v>60</c:v>
                </c:pt>
                <c:pt idx="8">
                  <c:v>66</c:v>
                </c:pt>
                <c:pt idx="9">
                  <c:v>47</c:v>
                </c:pt>
                <c:pt idx="10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4D-4140-AAEF-51A563EA76F0}"/>
            </c:ext>
          </c:extLst>
        </c:ser>
        <c:ser>
          <c:idx val="8"/>
          <c:order val="8"/>
          <c:tx>
            <c:strRef>
              <c:f>EXERCISE!$S$3</c:f>
              <c:strCache>
                <c:ptCount val="1"/>
                <c:pt idx="0">
                  <c:v>PIERCE</c:v>
                </c:pt>
              </c:strCache>
            </c:strRef>
          </c:tx>
          <c:spPr>
            <a:ln w="19050" cap="rnd">
              <a:solidFill>
                <a:srgbClr val="0432FF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9525">
                <a:solidFill>
                  <a:srgbClr val="0432FF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EXERCISE!$S$4:$S$14</c:f>
              <c:numCache>
                <c:formatCode>General</c:formatCode>
                <c:ptCount val="11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49</c:v>
                </c:pt>
                <c:pt idx="4">
                  <c:v>49</c:v>
                </c:pt>
                <c:pt idx="5">
                  <c:v>42</c:v>
                </c:pt>
                <c:pt idx="6">
                  <c:v>23</c:v>
                </c:pt>
                <c:pt idx="7">
                  <c:v>48</c:v>
                </c:pt>
                <c:pt idx="8">
                  <c:v>38</c:v>
                </c:pt>
                <c:pt idx="9">
                  <c:v>24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4D-4140-AAEF-51A563EA76F0}"/>
            </c:ext>
          </c:extLst>
        </c:ser>
        <c:ser>
          <c:idx val="9"/>
          <c:order val="9"/>
          <c:tx>
            <c:strRef>
              <c:f>EXERCISE!$T$3</c:f>
              <c:strCache>
                <c:ptCount val="1"/>
                <c:pt idx="0">
                  <c:v>ROSEDALE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EXERCISE!$T$4:$T$14</c:f>
              <c:numCache>
                <c:formatCode>General</c:formatCode>
                <c:ptCount val="11"/>
                <c:pt idx="0">
                  <c:v>65</c:v>
                </c:pt>
                <c:pt idx="1">
                  <c:v>55</c:v>
                </c:pt>
                <c:pt idx="2">
                  <c:v>59</c:v>
                </c:pt>
                <c:pt idx="3">
                  <c:v>53</c:v>
                </c:pt>
                <c:pt idx="4">
                  <c:v>59</c:v>
                </c:pt>
                <c:pt idx="5">
                  <c:v>52</c:v>
                </c:pt>
                <c:pt idx="6">
                  <c:v>41</c:v>
                </c:pt>
                <c:pt idx="7">
                  <c:v>37</c:v>
                </c:pt>
                <c:pt idx="8">
                  <c:v>63</c:v>
                </c:pt>
                <c:pt idx="9">
                  <c:v>49</c:v>
                </c:pt>
                <c:pt idx="1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24D-4140-AAEF-51A563EA76F0}"/>
            </c:ext>
          </c:extLst>
        </c:ser>
        <c:ser>
          <c:idx val="10"/>
          <c:order val="10"/>
          <c:tx>
            <c:strRef>
              <c:f>EXERCISE!$U$3</c:f>
              <c:strCache>
                <c:ptCount val="1"/>
                <c:pt idx="0">
                  <c:v>SEALY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EXERCISE!$U$4:$U$14</c:f>
              <c:numCache>
                <c:formatCode>General</c:formatCode>
                <c:ptCount val="11"/>
                <c:pt idx="0">
                  <c:v>93</c:v>
                </c:pt>
                <c:pt idx="1">
                  <c:v>89</c:v>
                </c:pt>
                <c:pt idx="2">
                  <c:v>79</c:v>
                </c:pt>
                <c:pt idx="3">
                  <c:v>82</c:v>
                </c:pt>
                <c:pt idx="4">
                  <c:v>94</c:v>
                </c:pt>
                <c:pt idx="5">
                  <c:v>83</c:v>
                </c:pt>
                <c:pt idx="6">
                  <c:v>84</c:v>
                </c:pt>
                <c:pt idx="7">
                  <c:v>81</c:v>
                </c:pt>
                <c:pt idx="8">
                  <c:v>89</c:v>
                </c:pt>
                <c:pt idx="9">
                  <c:v>70</c:v>
                </c:pt>
                <c:pt idx="1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24D-4140-AAEF-51A563EA76F0}"/>
            </c:ext>
          </c:extLst>
        </c:ser>
        <c:ser>
          <c:idx val="11"/>
          <c:order val="11"/>
          <c:tx>
            <c:strRef>
              <c:f>EXERCISE!$V$3</c:f>
              <c:strCache>
                <c:ptCount val="1"/>
                <c:pt idx="0">
                  <c:v>SOUTHLAKE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EXERCISE!$V$4:$V$14</c:f>
              <c:numCache>
                <c:formatCode>General</c:formatCode>
                <c:ptCount val="11"/>
                <c:pt idx="0">
                  <c:v>72</c:v>
                </c:pt>
                <c:pt idx="1">
                  <c:v>64</c:v>
                </c:pt>
                <c:pt idx="2">
                  <c:v>58</c:v>
                </c:pt>
                <c:pt idx="3">
                  <c:v>77</c:v>
                </c:pt>
                <c:pt idx="4">
                  <c:v>87</c:v>
                </c:pt>
                <c:pt idx="5">
                  <c:v>70</c:v>
                </c:pt>
                <c:pt idx="6">
                  <c:v>66</c:v>
                </c:pt>
                <c:pt idx="7">
                  <c:v>59</c:v>
                </c:pt>
                <c:pt idx="8">
                  <c:v>66</c:v>
                </c:pt>
                <c:pt idx="9">
                  <c:v>65</c:v>
                </c:pt>
                <c:pt idx="1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24D-4140-AAEF-51A563EA76F0}"/>
            </c:ext>
          </c:extLst>
        </c:ser>
        <c:ser>
          <c:idx val="12"/>
          <c:order val="12"/>
          <c:tx>
            <c:strRef>
              <c:f>EXERCISE!$W$3</c:f>
              <c:strCache>
                <c:ptCount val="1"/>
                <c:pt idx="0">
                  <c:v>WESTLAKE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EXERCISE!$W$4:$W$14</c:f>
              <c:numCache>
                <c:formatCode>General</c:formatCode>
                <c:ptCount val="11"/>
                <c:pt idx="0">
                  <c:v>83</c:v>
                </c:pt>
                <c:pt idx="1">
                  <c:v>73</c:v>
                </c:pt>
                <c:pt idx="2">
                  <c:v>73</c:v>
                </c:pt>
                <c:pt idx="3">
                  <c:v>85</c:v>
                </c:pt>
                <c:pt idx="4">
                  <c:v>87</c:v>
                </c:pt>
                <c:pt idx="5">
                  <c:v>54</c:v>
                </c:pt>
                <c:pt idx="6">
                  <c:v>59</c:v>
                </c:pt>
                <c:pt idx="7">
                  <c:v>64</c:v>
                </c:pt>
                <c:pt idx="8">
                  <c:v>59</c:v>
                </c:pt>
                <c:pt idx="9">
                  <c:v>68</c:v>
                </c:pt>
                <c:pt idx="10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4D-4140-AAEF-51A563EA76F0}"/>
            </c:ext>
          </c:extLst>
        </c:ser>
        <c:ser>
          <c:idx val="13"/>
          <c:order val="13"/>
          <c:tx>
            <c:strRef>
              <c:f>EXERCISE!$X$3</c:f>
              <c:strCache>
                <c:ptCount val="1"/>
                <c:pt idx="0">
                  <c:v>WILDLAND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EXERCISE!$X$4:$X$14</c:f>
              <c:numCache>
                <c:formatCode>General</c:formatCode>
                <c:ptCount val="11"/>
                <c:pt idx="0">
                  <c:v>83</c:v>
                </c:pt>
                <c:pt idx="1">
                  <c:v>79</c:v>
                </c:pt>
                <c:pt idx="2">
                  <c:v>81</c:v>
                </c:pt>
                <c:pt idx="3">
                  <c:v>75</c:v>
                </c:pt>
                <c:pt idx="4">
                  <c:v>79</c:v>
                </c:pt>
                <c:pt idx="5">
                  <c:v>72</c:v>
                </c:pt>
                <c:pt idx="6">
                  <c:v>51</c:v>
                </c:pt>
                <c:pt idx="7">
                  <c:v>46</c:v>
                </c:pt>
                <c:pt idx="8">
                  <c:v>66</c:v>
                </c:pt>
                <c:pt idx="9">
                  <c:v>57</c:v>
                </c:pt>
                <c:pt idx="1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24D-4140-AAEF-51A563EA76F0}"/>
            </c:ext>
          </c:extLst>
        </c:ser>
        <c:ser>
          <c:idx val="14"/>
          <c:order val="14"/>
          <c:tx>
            <c:strRef>
              <c:f>EXERCISE!$Y$3</c:f>
              <c:strCache>
                <c:ptCount val="1"/>
                <c:pt idx="0">
                  <c:v>REGIONAL AVG</c:v>
                </c:pt>
              </c:strCache>
            </c:strRef>
          </c:tx>
          <c:spPr>
            <a:ln w="34925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EXERCISE!$J$4:$J$14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EXERCISE!$Y$4:$Y$14</c:f>
              <c:numCache>
                <c:formatCode>0</c:formatCode>
                <c:ptCount val="11"/>
                <c:pt idx="0">
                  <c:v>73.857142857142861</c:v>
                </c:pt>
                <c:pt idx="1">
                  <c:v>68.785714285714292</c:v>
                </c:pt>
                <c:pt idx="2">
                  <c:v>68.714285714285708</c:v>
                </c:pt>
                <c:pt idx="3">
                  <c:v>73.214285714285708</c:v>
                </c:pt>
                <c:pt idx="4">
                  <c:v>77.5</c:v>
                </c:pt>
                <c:pt idx="5">
                  <c:v>67.142857142857139</c:v>
                </c:pt>
                <c:pt idx="6">
                  <c:v>60.5</c:v>
                </c:pt>
                <c:pt idx="7">
                  <c:v>62.5</c:v>
                </c:pt>
                <c:pt idx="8">
                  <c:v>71.214285714285708</c:v>
                </c:pt>
                <c:pt idx="9">
                  <c:v>67.571428571428569</c:v>
                </c:pt>
                <c:pt idx="10">
                  <c:v>61.214285714285715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24D-4140-AAEF-51A563EA7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840079"/>
        <c:axId val="721680303"/>
      </c:lineChart>
      <c:catAx>
        <c:axId val="72184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1680303"/>
        <c:crosses val="autoZero"/>
        <c:auto val="1"/>
        <c:lblAlgn val="ctr"/>
        <c:lblOffset val="100"/>
        <c:noMultiLvlLbl val="0"/>
      </c:catAx>
      <c:valAx>
        <c:axId val="7216803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Number</a:t>
                </a:r>
                <a:r>
                  <a:rPr lang="en-US" sz="1200" b="1" baseline="0"/>
                  <a:t> of Cars Sold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21840079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207964232600283"/>
          <c:y val="6.821304236080282E-2"/>
          <c:w val="0.17712656486977402"/>
          <c:h val="0.86984976284492643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Breast Cancer Screening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'[1]Pre Transfusion HGB Averages'!$C$32</c:f>
              <c:strCache>
                <c:ptCount val="1"/>
                <c:pt idx="0">
                  <c:v>DOWNEY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Averages'!$C$33:$C$34</c:f>
              <c:numCache>
                <c:formatCode>General</c:formatCode>
                <c:ptCount val="2"/>
                <c:pt idx="0">
                  <c:v>7.6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6-4D47-AEFD-BBA3EA60F06D}"/>
            </c:ext>
          </c:extLst>
        </c:ser>
        <c:ser>
          <c:idx val="1"/>
          <c:order val="1"/>
          <c:tx>
            <c:strRef>
              <c:f>'[1]Pre Transfusion HGB Averages'!$D$32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Averages'!$D$33:$D$34</c:f>
              <c:numCache>
                <c:formatCode>General</c:formatCode>
                <c:ptCount val="2"/>
                <c:pt idx="0">
                  <c:v>7.3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6-4D47-AEFD-BBA3EA60F06D}"/>
            </c:ext>
          </c:extLst>
        </c:ser>
        <c:ser>
          <c:idx val="2"/>
          <c:order val="2"/>
          <c:tx>
            <c:strRef>
              <c:f>'[1]Pre Transfusion HGB Averages'!$E$32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Averages'!$E$33:$E$34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6-4D47-AEFD-BBA3EA60F06D}"/>
            </c:ext>
          </c:extLst>
        </c:ser>
        <c:ser>
          <c:idx val="3"/>
          <c:order val="3"/>
          <c:tx>
            <c:strRef>
              <c:f>'[1]Pre Transfusion HGB Averages'!$F$32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Averages'!$F$33:$F$34</c:f>
              <c:numCache>
                <c:formatCode>General</c:formatCode>
                <c:ptCount val="2"/>
                <c:pt idx="0">
                  <c:v>7.5</c:v>
                </c:pt>
                <c:pt idx="1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86-4D47-AEFD-BBA3EA60F06D}"/>
            </c:ext>
          </c:extLst>
        </c:ser>
        <c:ser>
          <c:idx val="4"/>
          <c:order val="4"/>
          <c:tx>
            <c:strRef>
              <c:f>'[1]Pre Transfusion HGB Averages'!$G$32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Averages'!$G$33:$G$34</c:f>
              <c:numCache>
                <c:formatCode>General</c:formatCode>
                <c:ptCount val="2"/>
                <c:pt idx="0">
                  <c:v>7.7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86-4D47-AEFD-BBA3EA60F06D}"/>
            </c:ext>
          </c:extLst>
        </c:ser>
        <c:ser>
          <c:idx val="5"/>
          <c:order val="5"/>
          <c:tx>
            <c:strRef>
              <c:f>'[1]Pre Transfusion HGB Averages'!$H$32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Averages'!$H$33:$H$34</c:f>
              <c:numCache>
                <c:formatCode>General</c:formatCode>
                <c:ptCount val="2"/>
                <c:pt idx="0">
                  <c:v>8</c:v>
                </c:pt>
                <c:pt idx="1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86-4D47-AEFD-BBA3EA60F06D}"/>
            </c:ext>
          </c:extLst>
        </c:ser>
        <c:ser>
          <c:idx val="6"/>
          <c:order val="6"/>
          <c:tx>
            <c:strRef>
              <c:f>'[1]Pre Transfusion HGB Averages'!$I$32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Averages'!$I$33:$I$34</c:f>
              <c:numCache>
                <c:formatCode>General</c:formatCode>
                <c:ptCount val="2"/>
                <c:pt idx="0">
                  <c:v>7.7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86-4D47-AEFD-BBA3EA60F06D}"/>
            </c:ext>
          </c:extLst>
        </c:ser>
        <c:ser>
          <c:idx val="7"/>
          <c:order val="7"/>
          <c:tx>
            <c:strRef>
              <c:f>'[1]Pre Transfusion HGB Averages'!$J$32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Averages'!$J$33:$J$34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86-4D47-AEFD-BBA3EA60F06D}"/>
            </c:ext>
          </c:extLst>
        </c:ser>
        <c:ser>
          <c:idx val="8"/>
          <c:order val="8"/>
          <c:tx>
            <c:strRef>
              <c:f>'[1]Pre Transfusion HGB Averages'!$K$32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Averages'!$K$33:$K$34</c:f>
              <c:numCache>
                <c:formatCode>General</c:formatCode>
                <c:ptCount val="2"/>
                <c:pt idx="0">
                  <c:v>7.5</c:v>
                </c:pt>
                <c:pt idx="1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86-4D47-AEFD-BBA3EA60F06D}"/>
            </c:ext>
          </c:extLst>
        </c:ser>
        <c:ser>
          <c:idx val="9"/>
          <c:order val="9"/>
          <c:tx>
            <c:strRef>
              <c:f>'[1]Pre Transfusion HGB Averages'!$L$32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9FFFF"/>
              </a:solidFill>
              <a:ln>
                <a:solidFill>
                  <a:srgbClr val="69FFFF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Averages'!$M$33:$M$34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86-4D47-AEFD-BBA3EA60F06D}"/>
            </c:ext>
          </c:extLst>
        </c:ser>
        <c:ser>
          <c:idx val="10"/>
          <c:order val="10"/>
          <c:tx>
            <c:strRef>
              <c:f>'[1]Pre Transfusion HGB Averages'!$N$32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Averages'!$N$33:$N$34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86-4D47-AEFD-BBA3EA60F06D}"/>
            </c:ext>
          </c:extLst>
        </c:ser>
        <c:ser>
          <c:idx val="11"/>
          <c:order val="11"/>
          <c:tx>
            <c:strRef>
              <c:f>'[1]Pre Transfusion HGB Averages'!$O$32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Averages'!$O$33:$O$34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786-4D47-AEFD-BBA3EA60F06D}"/>
            </c:ext>
          </c:extLst>
        </c:ser>
        <c:ser>
          <c:idx val="12"/>
          <c:order val="12"/>
          <c:tx>
            <c:strRef>
              <c:f>'[1]Pre Transfusion HGB Averages'!$P$32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A6CAF0"/>
                </a:solidFill>
                <a:prstDash val="solid"/>
              </a:ln>
            </c:spPr>
          </c:marker>
          <c:cat>
            <c:numRef>
              <c:f>'[1]Pre Transfusion HGB Averages'!$A$33:$A$34</c:f>
              <c:numCache>
                <c:formatCode>General</c:formatCode>
                <c:ptCount val="2"/>
              </c:numCache>
            </c:numRef>
          </c:cat>
          <c:val>
            <c:numRef>
              <c:f>'[1]Pre Transfusion HGB Averages'!$P$33:$P$34</c:f>
              <c:numCache>
                <c:formatCode>General</c:formatCode>
                <c:ptCount val="2"/>
                <c:pt idx="0">
                  <c:v>7.6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86-4D47-AEFD-BBA3EA60F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172072"/>
        <c:axId val="2102180392"/>
      </c:lineChart>
      <c:catAx>
        <c:axId val="2102172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End of Rolling Time Period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2102180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2180392"/>
        <c:scaling>
          <c:orientation val="minMax"/>
          <c:max val="9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Eligible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2102172072"/>
        <c:crosses val="autoZero"/>
        <c:crossBetween val="between"/>
      </c:valAx>
      <c:spPr>
        <a:solidFill>
          <a:srgbClr val="E3E3E3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cs-CZ" sz="1440" b="0" i="0" u="none" strike="noStrike" cap="all" baseline="0"/>
              <a:t>růst pobočky Filmore oproti klesajícímu trendu průměru regionů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EXERCISE!$K$18</c:f>
              <c:strCache>
                <c:ptCount val="1"/>
                <c:pt idx="0">
                  <c:v>REGIONAL AVG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EXERCISE!$J$19:$J$29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EXERCISE!$K$19:$K$29</c:f>
              <c:numCache>
                <c:formatCode>0</c:formatCode>
                <c:ptCount val="11"/>
                <c:pt idx="0">
                  <c:v>73.857142857142861</c:v>
                </c:pt>
                <c:pt idx="1">
                  <c:v>68.785714285714292</c:v>
                </c:pt>
                <c:pt idx="2">
                  <c:v>68.714285714285708</c:v>
                </c:pt>
                <c:pt idx="3">
                  <c:v>73.214285714285708</c:v>
                </c:pt>
                <c:pt idx="4">
                  <c:v>77.5</c:v>
                </c:pt>
                <c:pt idx="5">
                  <c:v>67.142857142857139</c:v>
                </c:pt>
                <c:pt idx="6">
                  <c:v>60.5</c:v>
                </c:pt>
                <c:pt idx="7">
                  <c:v>62.5</c:v>
                </c:pt>
                <c:pt idx="8">
                  <c:v>71.214285714285708</c:v>
                </c:pt>
                <c:pt idx="9">
                  <c:v>67.571428571428569</c:v>
                </c:pt>
                <c:pt idx="10">
                  <c:v>61.214285714285715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A-45A9-B62B-24982DD080AC}"/>
            </c:ext>
          </c:extLst>
        </c:ser>
        <c:ser>
          <c:idx val="1"/>
          <c:order val="1"/>
          <c:tx>
            <c:strRef>
              <c:f>EXERCISE!$L$18</c:f>
              <c:strCache>
                <c:ptCount val="1"/>
                <c:pt idx="0">
                  <c:v>FILMORE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EXERCISE!$J$19:$J$29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EXERCISE!$L$19:$L$29</c:f>
              <c:numCache>
                <c:formatCode>General</c:formatCode>
                <c:ptCount val="11"/>
                <c:pt idx="0">
                  <c:v>85</c:v>
                </c:pt>
                <c:pt idx="1">
                  <c:v>97</c:v>
                </c:pt>
                <c:pt idx="2">
                  <c:v>92</c:v>
                </c:pt>
                <c:pt idx="3">
                  <c:v>95</c:v>
                </c:pt>
                <c:pt idx="4">
                  <c:v>92</c:v>
                </c:pt>
                <c:pt idx="5">
                  <c:v>83</c:v>
                </c:pt>
                <c:pt idx="6">
                  <c:v>103</c:v>
                </c:pt>
                <c:pt idx="7">
                  <c:v>109</c:v>
                </c:pt>
                <c:pt idx="8">
                  <c:v>94</c:v>
                </c:pt>
                <c:pt idx="9">
                  <c:v>104</c:v>
                </c:pt>
                <c:pt idx="1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7A-45A9-B62B-24982DD080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8990792"/>
        <c:axId val="978991152"/>
      </c:lineChart>
      <c:catAx>
        <c:axId val="978990792"/>
        <c:scaling>
          <c:orientation val="minMax"/>
        </c:scaling>
        <c:delete val="0"/>
        <c:axPos val="b"/>
        <c:minorGridlines>
          <c:spPr>
            <a:ln>
              <a:solidFill>
                <a:schemeClr val="dk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78991152"/>
        <c:crosses val="autoZero"/>
        <c:auto val="1"/>
        <c:lblAlgn val="ctr"/>
        <c:lblOffset val="100"/>
        <c:noMultiLvlLbl val="0"/>
      </c:catAx>
      <c:valAx>
        <c:axId val="9789911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7899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EXERCISE!$K$18</c:f>
              <c:strCache>
                <c:ptCount val="1"/>
                <c:pt idx="0">
                  <c:v>REGIONAL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EXERCISE!$J$19:$J$29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EXERCISE!$K$19:$K$29</c:f>
              <c:numCache>
                <c:formatCode>0</c:formatCode>
                <c:ptCount val="11"/>
                <c:pt idx="0">
                  <c:v>73.857142857142861</c:v>
                </c:pt>
                <c:pt idx="1">
                  <c:v>68.785714285714292</c:v>
                </c:pt>
                <c:pt idx="2">
                  <c:v>68.714285714285708</c:v>
                </c:pt>
                <c:pt idx="3">
                  <c:v>73.214285714285708</c:v>
                </c:pt>
                <c:pt idx="4">
                  <c:v>77.5</c:v>
                </c:pt>
                <c:pt idx="5">
                  <c:v>67.142857142857139</c:v>
                </c:pt>
                <c:pt idx="6">
                  <c:v>60.5</c:v>
                </c:pt>
                <c:pt idx="7">
                  <c:v>62.5</c:v>
                </c:pt>
                <c:pt idx="8">
                  <c:v>71.214285714285708</c:v>
                </c:pt>
                <c:pt idx="9">
                  <c:v>67.571428571428569</c:v>
                </c:pt>
                <c:pt idx="10">
                  <c:v>61.214285714285715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5-4060-B79C-A1E6ABF5203D}"/>
            </c:ext>
          </c:extLst>
        </c:ser>
        <c:ser>
          <c:idx val="1"/>
          <c:order val="1"/>
          <c:tx>
            <c:strRef>
              <c:f>EXERCISE!$L$18</c:f>
              <c:strCache>
                <c:ptCount val="1"/>
                <c:pt idx="0">
                  <c:v>FILMORE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EXERCISE!$J$19:$J$29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EXERCISE!$L$19:$L$29</c:f>
              <c:numCache>
                <c:formatCode>General</c:formatCode>
                <c:ptCount val="11"/>
                <c:pt idx="0">
                  <c:v>85</c:v>
                </c:pt>
                <c:pt idx="1">
                  <c:v>97</c:v>
                </c:pt>
                <c:pt idx="2">
                  <c:v>92</c:v>
                </c:pt>
                <c:pt idx="3">
                  <c:v>95</c:v>
                </c:pt>
                <c:pt idx="4">
                  <c:v>92</c:v>
                </c:pt>
                <c:pt idx="5">
                  <c:v>83</c:v>
                </c:pt>
                <c:pt idx="6">
                  <c:v>103</c:v>
                </c:pt>
                <c:pt idx="7">
                  <c:v>109</c:v>
                </c:pt>
                <c:pt idx="8">
                  <c:v>94</c:v>
                </c:pt>
                <c:pt idx="9">
                  <c:v>104</c:v>
                </c:pt>
                <c:pt idx="1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85-4060-B79C-A1E6ABF5203D}"/>
            </c:ext>
          </c:extLst>
        </c:ser>
        <c:ser>
          <c:idx val="2"/>
          <c:order val="2"/>
          <c:tx>
            <c:strRef>
              <c:f>EXERCISE!$M$18</c:f>
              <c:strCache>
                <c:ptCount val="1"/>
                <c:pt idx="0">
                  <c:v>LAKESIDE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EXERCISE!$J$19:$J$29</c:f>
              <c:strCache>
                <c:ptCount val="11"/>
                <c:pt idx="0">
                  <c:v>2017 Q1</c:v>
                </c:pt>
                <c:pt idx="1">
                  <c:v>2017 Q2</c:v>
                </c:pt>
                <c:pt idx="2">
                  <c:v>2017 Q3</c:v>
                </c:pt>
                <c:pt idx="3">
                  <c:v>2017 Q4</c:v>
                </c:pt>
                <c:pt idx="4">
                  <c:v>2018 Q1</c:v>
                </c:pt>
                <c:pt idx="5">
                  <c:v>2018 Q2</c:v>
                </c:pt>
                <c:pt idx="6">
                  <c:v>2018 Q3</c:v>
                </c:pt>
                <c:pt idx="7">
                  <c:v>2018 Q4</c:v>
                </c:pt>
                <c:pt idx="8">
                  <c:v>2019 Q1</c:v>
                </c:pt>
                <c:pt idx="9">
                  <c:v>2019 Q2</c:v>
                </c:pt>
                <c:pt idx="10">
                  <c:v>2019 Q3</c:v>
                </c:pt>
              </c:strCache>
            </c:strRef>
          </c:cat>
          <c:val>
            <c:numRef>
              <c:f>EXERCISE!$M$19:$M$29</c:f>
              <c:numCache>
                <c:formatCode>General</c:formatCode>
                <c:ptCount val="11"/>
                <c:pt idx="0">
                  <c:v>117</c:v>
                </c:pt>
                <c:pt idx="1">
                  <c:v>107</c:v>
                </c:pt>
                <c:pt idx="2">
                  <c:v>127</c:v>
                </c:pt>
                <c:pt idx="3">
                  <c:v>132</c:v>
                </c:pt>
                <c:pt idx="4">
                  <c:v>145</c:v>
                </c:pt>
                <c:pt idx="5">
                  <c:v>112</c:v>
                </c:pt>
                <c:pt idx="6">
                  <c:v>107</c:v>
                </c:pt>
                <c:pt idx="7">
                  <c:v>95</c:v>
                </c:pt>
                <c:pt idx="8">
                  <c:v>126</c:v>
                </c:pt>
                <c:pt idx="9">
                  <c:v>133</c:v>
                </c:pt>
                <c:pt idx="10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85-4060-B79C-A1E6ABF52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409552"/>
        <c:axId val="855412072"/>
      </c:lineChart>
      <c:catAx>
        <c:axId val="85540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55412072"/>
        <c:crosses val="autoZero"/>
        <c:auto val="1"/>
        <c:lblAlgn val="ctr"/>
        <c:lblOffset val="100"/>
        <c:noMultiLvlLbl val="0"/>
      </c:catAx>
      <c:valAx>
        <c:axId val="85541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554095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7</xdr:row>
      <xdr:rowOff>0</xdr:rowOff>
    </xdr:from>
    <xdr:to>
      <xdr:col>24</xdr:col>
      <xdr:colOff>0</xdr:colOff>
      <xdr:row>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D4CD50-794F-684C-835F-46E916BEC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2</xdr:row>
      <xdr:rowOff>12700</xdr:rowOff>
    </xdr:from>
    <xdr:to>
      <xdr:col>7</xdr:col>
      <xdr:colOff>838200</xdr:colOff>
      <xdr:row>23</xdr:row>
      <xdr:rowOff>101600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C6E3E18-9245-8D45-A793-502200F1B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</xdr:colOff>
      <xdr:row>22</xdr:row>
      <xdr:rowOff>0</xdr:rowOff>
    </xdr:from>
    <xdr:to>
      <xdr:col>24</xdr:col>
      <xdr:colOff>0</xdr:colOff>
      <xdr:row>22</xdr:row>
      <xdr:rowOff>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72344DA4-F0FB-458F-9620-135E5BCB8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267955</xdr:colOff>
      <xdr:row>27</xdr:row>
      <xdr:rowOff>5860</xdr:rowOff>
    </xdr:from>
    <xdr:to>
      <xdr:col>8</xdr:col>
      <xdr:colOff>552660</xdr:colOff>
      <xdr:row>48</xdr:row>
      <xdr:rowOff>167473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8165BDAE-02A5-16A7-10DC-6E3C2474D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4187</xdr:colOff>
      <xdr:row>31</xdr:row>
      <xdr:rowOff>5862</xdr:rowOff>
    </xdr:from>
    <xdr:to>
      <xdr:col>14</xdr:col>
      <xdr:colOff>96297</xdr:colOff>
      <xdr:row>45</xdr:row>
      <xdr:rowOff>52754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99AD389F-5A4C-CE43-867D-626E7313F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za/Downloads/Medicine_Regional_BLUAT_Quarterly_Trends_Report_2017_Q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 Transfusion HGB Averages"/>
      <sheetName val="Post Transfusion HGB Averages"/>
      <sheetName val="Total Transfusion Volumes"/>
      <sheetName val="RBC Transfusion Volumes"/>
      <sheetName val="FFP Transfusion Volumes"/>
      <sheetName val="Platelet Transfusion Volumes"/>
      <sheetName val="RBC Patient Days"/>
      <sheetName val="FFP Patient Days"/>
      <sheetName val="Platelet Patient Days"/>
      <sheetName val="Total Transfusion Patient Days"/>
      <sheetName val="Specifications"/>
      <sheetName val="Sheet1"/>
      <sheetName val="Sheet2"/>
      <sheetName val="Sheet3"/>
    </sheetNames>
    <sheetDataSet>
      <sheetData sheetId="0">
        <row r="32">
          <cell r="C32" t="str">
            <v xml:space="preserve">DOWNEY </v>
          </cell>
        </row>
        <row r="33">
          <cell r="C33">
            <v>7.6</v>
          </cell>
          <cell r="D33">
            <v>7.3</v>
          </cell>
          <cell r="E33">
            <v>7.3</v>
          </cell>
          <cell r="F33">
            <v>7.5</v>
          </cell>
          <cell r="G33">
            <v>7.7</v>
          </cell>
          <cell r="H33">
            <v>8</v>
          </cell>
          <cell r="I33">
            <v>7.7</v>
          </cell>
          <cell r="J33">
            <v>7.3</v>
          </cell>
          <cell r="K33">
            <v>7.5</v>
          </cell>
          <cell r="M33">
            <v>7.4</v>
          </cell>
          <cell r="N33">
            <v>7.4</v>
          </cell>
          <cell r="O33">
            <v>7.4</v>
          </cell>
          <cell r="P33">
            <v>7.6</v>
          </cell>
        </row>
        <row r="34">
          <cell r="C34">
            <v>7.6</v>
          </cell>
          <cell r="D34">
            <v>7.4</v>
          </cell>
          <cell r="E34">
            <v>7.3</v>
          </cell>
          <cell r="F34">
            <v>7.2</v>
          </cell>
          <cell r="G34">
            <v>7.6</v>
          </cell>
          <cell r="H34">
            <v>7.7</v>
          </cell>
          <cell r="I34">
            <v>7.4</v>
          </cell>
          <cell r="J34">
            <v>7.3</v>
          </cell>
          <cell r="K34">
            <v>7.5</v>
          </cell>
          <cell r="M34">
            <v>7.4</v>
          </cell>
          <cell r="N34">
            <v>7.4</v>
          </cell>
          <cell r="O34">
            <v>7.4</v>
          </cell>
          <cell r="P34">
            <v>7.6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3AB8-A7D4-0C49-B5B9-0E87EF245255}">
  <sheetPr>
    <tabColor theme="1"/>
  </sheetPr>
  <dimension ref="A1:Y29"/>
  <sheetViews>
    <sheetView tabSelected="1" zoomScale="91" workbookViewId="0">
      <pane ySplit="1" topLeftCell="A25" activePane="bottomLeft" state="frozen"/>
      <selection pane="bottomLeft" activeCell="O46" sqref="O46"/>
    </sheetView>
  </sheetViews>
  <sheetFormatPr defaultColWidth="10.7265625" defaultRowHeight="15" x14ac:dyDescent="0.25"/>
  <sheetData>
    <row r="1" spans="1:25" x14ac:dyDescent="0.25">
      <c r="A1" s="10" t="s">
        <v>27</v>
      </c>
      <c r="B1" s="10"/>
      <c r="C1" s="10"/>
      <c r="D1" s="10"/>
      <c r="E1" s="10"/>
      <c r="F1" s="10"/>
      <c r="G1" s="10"/>
      <c r="H1" s="10"/>
      <c r="J1" s="10" t="s">
        <v>0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5.6" x14ac:dyDescent="0.3">
      <c r="M2" s="1"/>
      <c r="N2" s="2"/>
      <c r="O2" s="1"/>
      <c r="P2" s="1"/>
      <c r="Q2" s="1"/>
      <c r="R2" s="1"/>
      <c r="S2" s="1"/>
      <c r="T2" s="1"/>
      <c r="U2" s="1"/>
      <c r="V2" s="1"/>
      <c r="W2" s="2"/>
      <c r="X2" s="1"/>
      <c r="Y2" s="2"/>
    </row>
    <row r="3" spans="1:25" x14ac:dyDescent="0.25">
      <c r="A3" s="7"/>
      <c r="B3" s="7"/>
      <c r="C3" s="7"/>
      <c r="D3" s="7"/>
      <c r="E3" s="7"/>
      <c r="F3" s="7"/>
      <c r="G3" s="7"/>
      <c r="H3" s="7"/>
      <c r="J3" s="3"/>
      <c r="K3" s="3" t="s">
        <v>9</v>
      </c>
      <c r="L3" s="3" t="s">
        <v>21</v>
      </c>
      <c r="M3" s="3" t="s">
        <v>10</v>
      </c>
      <c r="N3" s="3" t="s">
        <v>11</v>
      </c>
      <c r="O3" s="3" t="s">
        <v>19</v>
      </c>
      <c r="P3" s="3" t="s">
        <v>13</v>
      </c>
      <c r="Q3" s="3" t="s">
        <v>12</v>
      </c>
      <c r="R3" s="3" t="s">
        <v>20</v>
      </c>
      <c r="S3" s="3" t="s">
        <v>14</v>
      </c>
      <c r="T3" s="3" t="s">
        <v>22</v>
      </c>
      <c r="U3" s="3" t="s">
        <v>15</v>
      </c>
      <c r="V3" s="3" t="s">
        <v>16</v>
      </c>
      <c r="W3" s="3" t="s">
        <v>17</v>
      </c>
      <c r="X3" s="3" t="s">
        <v>18</v>
      </c>
      <c r="Y3" s="4" t="s">
        <v>4</v>
      </c>
    </row>
    <row r="4" spans="1:25" x14ac:dyDescent="0.25">
      <c r="A4" s="7"/>
      <c r="B4" s="7"/>
      <c r="C4" s="7"/>
      <c r="D4" s="7"/>
      <c r="E4" s="7"/>
      <c r="F4" s="7"/>
      <c r="G4" s="7"/>
      <c r="H4" s="7"/>
      <c r="J4" s="5" t="s">
        <v>1</v>
      </c>
      <c r="K4" s="6">
        <v>69</v>
      </c>
      <c r="L4" s="6">
        <v>130</v>
      </c>
      <c r="M4" s="6">
        <v>85</v>
      </c>
      <c r="N4" s="6">
        <v>117</v>
      </c>
      <c r="O4" s="6">
        <v>16</v>
      </c>
      <c r="P4" s="6">
        <v>74</v>
      </c>
      <c r="Q4" s="6">
        <v>61</v>
      </c>
      <c r="R4" s="6">
        <v>51</v>
      </c>
      <c r="S4" s="6">
        <v>35</v>
      </c>
      <c r="T4" s="6">
        <v>65</v>
      </c>
      <c r="U4" s="6">
        <v>93</v>
      </c>
      <c r="V4" s="6">
        <v>72</v>
      </c>
      <c r="W4" s="6">
        <v>83</v>
      </c>
      <c r="X4" s="6">
        <v>83</v>
      </c>
      <c r="Y4" s="11">
        <f t="shared" ref="Y4:Y14" si="0">AVERAGE(K4:X4)</f>
        <v>73.857142857142861</v>
      </c>
    </row>
    <row r="5" spans="1:25" x14ac:dyDescent="0.25">
      <c r="A5" s="7"/>
      <c r="B5" s="7"/>
      <c r="C5" s="7"/>
      <c r="D5" s="7"/>
      <c r="E5" s="7"/>
      <c r="F5" s="7"/>
      <c r="G5" s="7"/>
      <c r="H5" s="7"/>
      <c r="J5" s="5" t="s">
        <v>2</v>
      </c>
      <c r="K5" s="6">
        <v>77</v>
      </c>
      <c r="L5" s="6">
        <v>86</v>
      </c>
      <c r="M5" s="6">
        <v>97</v>
      </c>
      <c r="N5" s="6">
        <v>107</v>
      </c>
      <c r="O5" s="6">
        <v>17</v>
      </c>
      <c r="P5" s="6">
        <v>71</v>
      </c>
      <c r="Q5" s="6">
        <v>55</v>
      </c>
      <c r="R5" s="6">
        <v>61</v>
      </c>
      <c r="S5" s="6">
        <v>32</v>
      </c>
      <c r="T5" s="6">
        <v>55</v>
      </c>
      <c r="U5" s="6">
        <v>89</v>
      </c>
      <c r="V5" s="6">
        <v>64</v>
      </c>
      <c r="W5" s="6">
        <v>73</v>
      </c>
      <c r="X5" s="6">
        <v>79</v>
      </c>
      <c r="Y5" s="12">
        <f t="shared" si="0"/>
        <v>68.785714285714292</v>
      </c>
    </row>
    <row r="6" spans="1:25" x14ac:dyDescent="0.25">
      <c r="A6" s="7"/>
      <c r="B6" s="7"/>
      <c r="C6" s="7"/>
      <c r="D6" s="7"/>
      <c r="E6" s="7"/>
      <c r="F6" s="7"/>
      <c r="G6" s="7"/>
      <c r="H6" s="7"/>
      <c r="J6" s="5" t="s">
        <v>3</v>
      </c>
      <c r="K6" s="6">
        <v>63</v>
      </c>
      <c r="L6" s="6">
        <v>90</v>
      </c>
      <c r="M6" s="6">
        <v>92</v>
      </c>
      <c r="N6" s="6">
        <v>127</v>
      </c>
      <c r="O6" s="6">
        <v>18</v>
      </c>
      <c r="P6" s="6">
        <v>68</v>
      </c>
      <c r="Q6" s="6">
        <v>55</v>
      </c>
      <c r="R6" s="6">
        <v>67</v>
      </c>
      <c r="S6" s="6">
        <v>32</v>
      </c>
      <c r="T6" s="6">
        <v>59</v>
      </c>
      <c r="U6" s="6">
        <v>79</v>
      </c>
      <c r="V6" s="6">
        <v>58</v>
      </c>
      <c r="W6" s="6">
        <v>73</v>
      </c>
      <c r="X6" s="6">
        <v>81</v>
      </c>
      <c r="Y6" s="12">
        <f t="shared" si="0"/>
        <v>68.714285714285708</v>
      </c>
    </row>
    <row r="7" spans="1:25" x14ac:dyDescent="0.25">
      <c r="A7" s="7"/>
      <c r="B7" s="7"/>
      <c r="C7" s="7"/>
      <c r="D7" s="7"/>
      <c r="E7" s="7"/>
      <c r="F7" s="7"/>
      <c r="G7" s="7"/>
      <c r="H7" s="7"/>
      <c r="J7" s="5" t="s">
        <v>8</v>
      </c>
      <c r="K7" s="6">
        <v>61</v>
      </c>
      <c r="L7" s="6">
        <v>100</v>
      </c>
      <c r="M7" s="6">
        <v>95</v>
      </c>
      <c r="N7" s="6">
        <v>132</v>
      </c>
      <c r="O7" s="6">
        <v>21</v>
      </c>
      <c r="P7" s="6">
        <v>72</v>
      </c>
      <c r="Q7" s="6">
        <v>72</v>
      </c>
      <c r="R7" s="6">
        <v>51</v>
      </c>
      <c r="S7" s="6">
        <v>49</v>
      </c>
      <c r="T7" s="6">
        <v>53</v>
      </c>
      <c r="U7" s="6">
        <v>82</v>
      </c>
      <c r="V7" s="6">
        <v>77</v>
      </c>
      <c r="W7" s="6">
        <v>85</v>
      </c>
      <c r="X7" s="6">
        <v>75</v>
      </c>
      <c r="Y7" s="12">
        <f t="shared" si="0"/>
        <v>73.214285714285708</v>
      </c>
    </row>
    <row r="8" spans="1:25" x14ac:dyDescent="0.25">
      <c r="A8" s="7"/>
      <c r="B8" s="7"/>
      <c r="C8" s="7"/>
      <c r="D8" s="7"/>
      <c r="E8" s="7"/>
      <c r="F8" s="7"/>
      <c r="G8" s="7"/>
      <c r="H8" s="7"/>
      <c r="J8" s="5" t="s">
        <v>23</v>
      </c>
      <c r="K8" s="6">
        <v>67</v>
      </c>
      <c r="L8" s="6">
        <v>106</v>
      </c>
      <c r="M8" s="6">
        <v>92</v>
      </c>
      <c r="N8" s="6">
        <v>145</v>
      </c>
      <c r="O8" s="6">
        <v>21</v>
      </c>
      <c r="P8" s="6">
        <v>69</v>
      </c>
      <c r="Q8" s="6">
        <v>79</v>
      </c>
      <c r="R8" s="6">
        <v>51</v>
      </c>
      <c r="S8" s="6">
        <v>49</v>
      </c>
      <c r="T8" s="6">
        <v>59</v>
      </c>
      <c r="U8" s="6">
        <v>94</v>
      </c>
      <c r="V8" s="6">
        <v>87</v>
      </c>
      <c r="W8" s="6">
        <v>87</v>
      </c>
      <c r="X8" s="6">
        <v>79</v>
      </c>
      <c r="Y8" s="12">
        <f t="shared" si="0"/>
        <v>77.5</v>
      </c>
    </row>
    <row r="9" spans="1:25" x14ac:dyDescent="0.25">
      <c r="A9" s="7"/>
      <c r="B9" s="7"/>
      <c r="C9" s="7"/>
      <c r="D9" s="7"/>
      <c r="E9" s="7"/>
      <c r="F9" s="7"/>
      <c r="G9" s="7"/>
      <c r="H9" s="7"/>
      <c r="J9" s="5" t="s">
        <v>24</v>
      </c>
      <c r="K9" s="6">
        <v>67</v>
      </c>
      <c r="L9" s="6">
        <v>91</v>
      </c>
      <c r="M9" s="6">
        <v>83</v>
      </c>
      <c r="N9" s="6">
        <v>112</v>
      </c>
      <c r="O9" s="6">
        <v>17</v>
      </c>
      <c r="P9" s="6">
        <v>71</v>
      </c>
      <c r="Q9" s="6">
        <v>60</v>
      </c>
      <c r="R9" s="6">
        <v>66</v>
      </c>
      <c r="S9" s="6">
        <v>42</v>
      </c>
      <c r="T9" s="6">
        <v>52</v>
      </c>
      <c r="U9" s="6">
        <v>83</v>
      </c>
      <c r="V9" s="6">
        <v>70</v>
      </c>
      <c r="W9" s="6">
        <v>54</v>
      </c>
      <c r="X9" s="6">
        <v>72</v>
      </c>
      <c r="Y9" s="12">
        <f t="shared" si="0"/>
        <v>67.142857142857139</v>
      </c>
    </row>
    <row r="10" spans="1:25" x14ac:dyDescent="0.25">
      <c r="A10" s="7"/>
      <c r="B10" s="7"/>
      <c r="C10" s="7"/>
      <c r="D10" s="7"/>
      <c r="E10" s="7"/>
      <c r="F10" s="7"/>
      <c r="G10" s="7"/>
      <c r="H10" s="7"/>
      <c r="J10" s="5" t="s">
        <v>25</v>
      </c>
      <c r="K10" s="6">
        <v>57</v>
      </c>
      <c r="L10" s="6">
        <v>89</v>
      </c>
      <c r="M10" s="6">
        <v>103</v>
      </c>
      <c r="N10" s="6">
        <v>107</v>
      </c>
      <c r="O10" s="6">
        <v>17</v>
      </c>
      <c r="P10" s="6">
        <v>56</v>
      </c>
      <c r="Q10" s="6">
        <v>42</v>
      </c>
      <c r="R10" s="6">
        <v>52</v>
      </c>
      <c r="S10" s="6">
        <v>23</v>
      </c>
      <c r="T10" s="6">
        <v>41</v>
      </c>
      <c r="U10" s="6">
        <v>84</v>
      </c>
      <c r="V10" s="6">
        <v>66</v>
      </c>
      <c r="W10" s="6">
        <v>59</v>
      </c>
      <c r="X10" s="6">
        <v>51</v>
      </c>
      <c r="Y10" s="12">
        <f t="shared" si="0"/>
        <v>60.5</v>
      </c>
    </row>
    <row r="11" spans="1:25" x14ac:dyDescent="0.25">
      <c r="A11" s="7"/>
      <c r="B11" s="7"/>
      <c r="C11" s="7"/>
      <c r="D11" s="7"/>
      <c r="E11" s="7"/>
      <c r="F11" s="7"/>
      <c r="G11" s="7"/>
      <c r="H11" s="7"/>
      <c r="J11" s="5" t="s">
        <v>26</v>
      </c>
      <c r="K11" s="6">
        <v>62</v>
      </c>
      <c r="L11" s="6">
        <v>87</v>
      </c>
      <c r="M11" s="6">
        <v>109</v>
      </c>
      <c r="N11" s="6">
        <v>95</v>
      </c>
      <c r="O11" s="6">
        <v>17</v>
      </c>
      <c r="P11" s="6">
        <v>66</v>
      </c>
      <c r="Q11" s="6">
        <v>44</v>
      </c>
      <c r="R11" s="6">
        <v>60</v>
      </c>
      <c r="S11" s="6">
        <v>48</v>
      </c>
      <c r="T11" s="6">
        <v>37</v>
      </c>
      <c r="U11" s="6">
        <v>81</v>
      </c>
      <c r="V11" s="6">
        <v>59</v>
      </c>
      <c r="W11" s="6">
        <v>64</v>
      </c>
      <c r="X11" s="6">
        <v>46</v>
      </c>
      <c r="Y11" s="12">
        <f t="shared" si="0"/>
        <v>62.5</v>
      </c>
    </row>
    <row r="12" spans="1:25" x14ac:dyDescent="0.25">
      <c r="A12" s="7"/>
      <c r="B12" s="7"/>
      <c r="C12" s="7"/>
      <c r="D12" s="7"/>
      <c r="E12" s="7"/>
      <c r="F12" s="7"/>
      <c r="G12" s="7"/>
      <c r="H12" s="7"/>
      <c r="J12" s="5" t="s">
        <v>7</v>
      </c>
      <c r="K12" s="6">
        <v>68</v>
      </c>
      <c r="L12" s="6">
        <v>93</v>
      </c>
      <c r="M12" s="6">
        <v>94</v>
      </c>
      <c r="N12" s="6">
        <v>126</v>
      </c>
      <c r="O12" s="6">
        <v>21</v>
      </c>
      <c r="P12" s="6">
        <v>83</v>
      </c>
      <c r="Q12" s="6">
        <v>65</v>
      </c>
      <c r="R12" s="6">
        <v>66</v>
      </c>
      <c r="S12" s="6">
        <v>38</v>
      </c>
      <c r="T12" s="6">
        <v>63</v>
      </c>
      <c r="U12" s="6">
        <v>89</v>
      </c>
      <c r="V12" s="6">
        <v>66</v>
      </c>
      <c r="W12" s="6">
        <v>59</v>
      </c>
      <c r="X12" s="6">
        <v>66</v>
      </c>
      <c r="Y12" s="12">
        <f t="shared" si="0"/>
        <v>71.214285714285708</v>
      </c>
    </row>
    <row r="13" spans="1:25" x14ac:dyDescent="0.25">
      <c r="A13" s="7"/>
      <c r="B13" s="7"/>
      <c r="C13" s="7"/>
      <c r="D13" s="7"/>
      <c r="E13" s="7"/>
      <c r="F13" s="7"/>
      <c r="G13" s="7"/>
      <c r="H13" s="7"/>
      <c r="J13" s="5" t="s">
        <v>6</v>
      </c>
      <c r="K13" s="6">
        <v>61</v>
      </c>
      <c r="L13" s="6">
        <v>96</v>
      </c>
      <c r="M13" s="6">
        <v>104</v>
      </c>
      <c r="N13" s="6">
        <v>133</v>
      </c>
      <c r="O13" s="6">
        <v>13</v>
      </c>
      <c r="P13" s="6">
        <v>79</v>
      </c>
      <c r="Q13" s="6">
        <v>80</v>
      </c>
      <c r="R13" s="6">
        <v>47</v>
      </c>
      <c r="S13" s="6">
        <v>24</v>
      </c>
      <c r="T13" s="6">
        <v>49</v>
      </c>
      <c r="U13" s="6">
        <v>70</v>
      </c>
      <c r="V13" s="6">
        <v>65</v>
      </c>
      <c r="W13" s="6">
        <v>68</v>
      </c>
      <c r="X13" s="6">
        <v>57</v>
      </c>
      <c r="Y13" s="12">
        <f t="shared" si="0"/>
        <v>67.571428571428569</v>
      </c>
    </row>
    <row r="14" spans="1:25" x14ac:dyDescent="0.25">
      <c r="A14" s="7"/>
      <c r="B14" s="7"/>
      <c r="C14" s="7"/>
      <c r="D14" s="7"/>
      <c r="E14" s="7"/>
      <c r="F14" s="7"/>
      <c r="G14" s="7"/>
      <c r="H14" s="7"/>
      <c r="J14" s="5" t="s">
        <v>5</v>
      </c>
      <c r="K14" s="6">
        <v>54</v>
      </c>
      <c r="L14" s="6">
        <v>103</v>
      </c>
      <c r="M14" s="6">
        <v>88</v>
      </c>
      <c r="N14" s="6">
        <v>105</v>
      </c>
      <c r="O14" s="6">
        <v>22</v>
      </c>
      <c r="P14" s="6">
        <v>66</v>
      </c>
      <c r="Q14" s="6">
        <v>37</v>
      </c>
      <c r="R14" s="6">
        <v>63</v>
      </c>
      <c r="S14" s="6">
        <v>26</v>
      </c>
      <c r="T14" s="6">
        <v>52</v>
      </c>
      <c r="U14" s="6">
        <v>66</v>
      </c>
      <c r="V14" s="6">
        <v>55</v>
      </c>
      <c r="W14" s="6">
        <v>51</v>
      </c>
      <c r="X14" s="6">
        <v>69</v>
      </c>
      <c r="Y14" s="12">
        <f t="shared" si="0"/>
        <v>61.214285714285715</v>
      </c>
    </row>
    <row r="15" spans="1:25" x14ac:dyDescent="0.25">
      <c r="A15" s="7"/>
      <c r="B15" s="7"/>
      <c r="C15" s="7"/>
      <c r="D15" s="7"/>
      <c r="E15" s="7"/>
      <c r="F15" s="7"/>
      <c r="G15" s="7"/>
      <c r="H15" s="7"/>
      <c r="J15" s="16" t="s">
        <v>28</v>
      </c>
      <c r="K15">
        <f>AVERAGE(K4:K14)</f>
        <v>64.181818181818187</v>
      </c>
      <c r="L15">
        <f t="shared" ref="L15:Y15" si="1">AVERAGE(L4:L14)</f>
        <v>97.36363636363636</v>
      </c>
      <c r="M15">
        <f t="shared" si="1"/>
        <v>94.727272727272734</v>
      </c>
      <c r="N15">
        <f t="shared" si="1"/>
        <v>118.72727272727273</v>
      </c>
      <c r="O15">
        <f t="shared" si="1"/>
        <v>18.181818181818183</v>
      </c>
      <c r="P15">
        <f t="shared" si="1"/>
        <v>70.454545454545453</v>
      </c>
      <c r="Q15">
        <f t="shared" si="1"/>
        <v>59.090909090909093</v>
      </c>
      <c r="R15">
        <f t="shared" si="1"/>
        <v>57.727272727272727</v>
      </c>
      <c r="S15">
        <f t="shared" si="1"/>
        <v>36.18181818181818</v>
      </c>
      <c r="T15">
        <f t="shared" si="1"/>
        <v>53.18181818181818</v>
      </c>
      <c r="U15">
        <f t="shared" si="1"/>
        <v>82.727272727272734</v>
      </c>
      <c r="V15">
        <f t="shared" si="1"/>
        <v>67.181818181818187</v>
      </c>
      <c r="W15">
        <f t="shared" si="1"/>
        <v>68.727272727272734</v>
      </c>
      <c r="X15">
        <f t="shared" si="1"/>
        <v>68.909090909090907</v>
      </c>
      <c r="Y15">
        <f t="shared" si="1"/>
        <v>68.383116883116884</v>
      </c>
    </row>
    <row r="16" spans="1:25" x14ac:dyDescent="0.25">
      <c r="A16" s="7"/>
      <c r="B16" s="7"/>
      <c r="C16" s="7"/>
      <c r="D16" s="7"/>
      <c r="E16" s="7"/>
      <c r="F16" s="7"/>
      <c r="G16" s="7"/>
      <c r="H16" s="7"/>
    </row>
    <row r="17" spans="1:24" x14ac:dyDescent="0.25">
      <c r="A17" s="7"/>
      <c r="B17" s="7"/>
      <c r="C17" s="7"/>
      <c r="D17" s="7"/>
      <c r="E17" s="7"/>
      <c r="F17" s="7"/>
      <c r="G17" s="7"/>
      <c r="H17" s="7"/>
    </row>
    <row r="18" spans="1:24" x14ac:dyDescent="0.25">
      <c r="A18" s="7"/>
      <c r="B18" s="7"/>
      <c r="C18" s="7"/>
      <c r="D18" s="7"/>
      <c r="E18" s="7"/>
      <c r="F18" s="7"/>
      <c r="G18" s="7"/>
      <c r="H18" s="7"/>
      <c r="J18" s="3"/>
      <c r="K18" s="4" t="s">
        <v>4</v>
      </c>
      <c r="L18" s="3" t="s">
        <v>10</v>
      </c>
      <c r="M18" s="3" t="s">
        <v>11</v>
      </c>
      <c r="O18" s="3" t="s">
        <v>19</v>
      </c>
      <c r="P18" s="3" t="s">
        <v>13</v>
      </c>
      <c r="Q18" s="3" t="s">
        <v>12</v>
      </c>
      <c r="R18" s="3" t="s">
        <v>20</v>
      </c>
      <c r="S18" s="3" t="s">
        <v>14</v>
      </c>
      <c r="T18" s="3" t="s">
        <v>22</v>
      </c>
      <c r="U18" s="3" t="s">
        <v>15</v>
      </c>
      <c r="V18" s="3" t="s">
        <v>16</v>
      </c>
      <c r="W18" s="3" t="s">
        <v>17</v>
      </c>
      <c r="X18" s="3" t="s">
        <v>18</v>
      </c>
    </row>
    <row r="19" spans="1:24" x14ac:dyDescent="0.25">
      <c r="A19" s="13"/>
      <c r="B19" s="7"/>
      <c r="C19" s="7"/>
      <c r="D19" s="7"/>
      <c r="E19" s="7"/>
      <c r="F19" s="7"/>
      <c r="G19" s="7"/>
      <c r="H19" s="7"/>
      <c r="J19" s="5" t="s">
        <v>1</v>
      </c>
      <c r="K19" s="11">
        <f ca="1">AVERAGE(K19:X19)</f>
        <v>73.857142857142861</v>
      </c>
      <c r="L19" s="6">
        <v>85</v>
      </c>
      <c r="M19" s="6">
        <v>117</v>
      </c>
      <c r="O19" s="6">
        <v>16</v>
      </c>
      <c r="P19" s="6">
        <v>74</v>
      </c>
      <c r="Q19" s="6">
        <v>61</v>
      </c>
      <c r="R19" s="6">
        <v>51</v>
      </c>
      <c r="S19" s="6">
        <v>35</v>
      </c>
      <c r="T19" s="6">
        <v>65</v>
      </c>
      <c r="U19" s="6">
        <v>93</v>
      </c>
      <c r="V19" s="6">
        <v>72</v>
      </c>
      <c r="W19" s="6">
        <v>83</v>
      </c>
      <c r="X19" s="6">
        <v>83</v>
      </c>
    </row>
    <row r="20" spans="1:24" x14ac:dyDescent="0.25">
      <c r="A20" s="14"/>
      <c r="B20" s="7"/>
      <c r="C20" s="7"/>
      <c r="D20" s="7"/>
      <c r="E20" s="7"/>
      <c r="F20" s="7"/>
      <c r="G20" s="7"/>
      <c r="H20" s="7"/>
      <c r="J20" s="5" t="s">
        <v>2</v>
      </c>
      <c r="K20" s="12">
        <f ca="1">AVERAGE(K20:X20)</f>
        <v>68.785714285714292</v>
      </c>
      <c r="L20" s="6">
        <v>97</v>
      </c>
      <c r="M20" s="6">
        <v>107</v>
      </c>
      <c r="O20" s="6">
        <v>17</v>
      </c>
      <c r="P20" s="6">
        <v>71</v>
      </c>
      <c r="Q20" s="6">
        <v>55</v>
      </c>
      <c r="R20" s="6">
        <v>61</v>
      </c>
      <c r="S20" s="6">
        <v>32</v>
      </c>
      <c r="T20" s="6">
        <v>55</v>
      </c>
      <c r="U20" s="6">
        <v>89</v>
      </c>
      <c r="V20" s="6">
        <v>64</v>
      </c>
      <c r="W20" s="6">
        <v>73</v>
      </c>
      <c r="X20" s="6">
        <v>79</v>
      </c>
    </row>
    <row r="21" spans="1:24" x14ac:dyDescent="0.25">
      <c r="A21" s="7"/>
      <c r="B21" s="7"/>
      <c r="C21" s="7"/>
      <c r="D21" s="7"/>
      <c r="E21" s="7"/>
      <c r="F21" s="7"/>
      <c r="G21" s="7"/>
      <c r="H21" s="7"/>
      <c r="J21" s="5" t="s">
        <v>3</v>
      </c>
      <c r="K21" s="12">
        <f ca="1">AVERAGE(K21:X21)</f>
        <v>68.714285714285708</v>
      </c>
      <c r="L21" s="6">
        <v>92</v>
      </c>
      <c r="M21" s="6">
        <v>127</v>
      </c>
      <c r="O21" s="6">
        <v>18</v>
      </c>
      <c r="P21" s="6">
        <v>68</v>
      </c>
      <c r="Q21" s="6">
        <v>55</v>
      </c>
      <c r="R21" s="6">
        <v>67</v>
      </c>
      <c r="S21" s="6">
        <v>32</v>
      </c>
      <c r="T21" s="6">
        <v>59</v>
      </c>
      <c r="U21" s="6">
        <v>79</v>
      </c>
      <c r="V21" s="6">
        <v>58</v>
      </c>
      <c r="W21" s="6">
        <v>73</v>
      </c>
      <c r="X21" s="6">
        <v>81</v>
      </c>
    </row>
    <row r="22" spans="1:24" x14ac:dyDescent="0.25">
      <c r="A22" s="7"/>
      <c r="B22" s="7"/>
      <c r="C22" s="7"/>
      <c r="D22" s="7"/>
      <c r="E22" s="7"/>
      <c r="F22" s="7"/>
      <c r="G22" s="7"/>
      <c r="H22" s="7"/>
      <c r="J22" s="5" t="s">
        <v>8</v>
      </c>
      <c r="K22" s="12">
        <f ca="1">AVERAGE(K22:X22)</f>
        <v>73.214285714285708</v>
      </c>
      <c r="L22" s="6">
        <v>95</v>
      </c>
      <c r="M22" s="6">
        <v>132</v>
      </c>
      <c r="O22" s="6">
        <v>21</v>
      </c>
      <c r="P22" s="6">
        <v>72</v>
      </c>
      <c r="Q22" s="6">
        <v>72</v>
      </c>
      <c r="R22" s="6">
        <v>51</v>
      </c>
      <c r="S22" s="6">
        <v>49</v>
      </c>
      <c r="T22" s="6">
        <v>53</v>
      </c>
      <c r="U22" s="6">
        <v>82</v>
      </c>
      <c r="V22" s="6">
        <v>77</v>
      </c>
      <c r="W22" s="6">
        <v>85</v>
      </c>
      <c r="X22" s="6">
        <v>75</v>
      </c>
    </row>
    <row r="23" spans="1:24" x14ac:dyDescent="0.25">
      <c r="A23" s="7"/>
      <c r="B23" s="7"/>
      <c r="C23" s="7"/>
      <c r="D23" s="7"/>
      <c r="E23" s="7"/>
      <c r="F23" s="7"/>
      <c r="G23" s="7"/>
      <c r="H23" s="7"/>
      <c r="J23" s="5" t="s">
        <v>23</v>
      </c>
      <c r="K23" s="12">
        <f ca="1">AVERAGE(K23:X23)</f>
        <v>77.5</v>
      </c>
      <c r="L23" s="6">
        <v>92</v>
      </c>
      <c r="M23" s="6">
        <v>145</v>
      </c>
      <c r="O23" s="6">
        <v>21</v>
      </c>
      <c r="P23" s="6">
        <v>69</v>
      </c>
      <c r="Q23" s="6">
        <v>79</v>
      </c>
      <c r="R23" s="6">
        <v>51</v>
      </c>
      <c r="S23" s="6">
        <v>49</v>
      </c>
      <c r="T23" s="6">
        <v>59</v>
      </c>
      <c r="U23" s="6">
        <v>94</v>
      </c>
      <c r="V23" s="6">
        <v>87</v>
      </c>
      <c r="W23" s="6">
        <v>87</v>
      </c>
      <c r="X23" s="6">
        <v>79</v>
      </c>
    </row>
    <row r="24" spans="1:24" x14ac:dyDescent="0.25">
      <c r="A24" s="7"/>
      <c r="B24" s="7"/>
      <c r="C24" s="7"/>
      <c r="D24" s="7"/>
      <c r="E24" s="7"/>
      <c r="F24" s="7"/>
      <c r="G24" s="7"/>
      <c r="H24" s="7"/>
      <c r="J24" s="5" t="s">
        <v>24</v>
      </c>
      <c r="K24" s="12">
        <f ca="1">AVERAGE(K24:X24)</f>
        <v>67.142857142857139</v>
      </c>
      <c r="L24" s="6">
        <v>83</v>
      </c>
      <c r="M24" s="6">
        <v>112</v>
      </c>
      <c r="O24" s="6">
        <v>17</v>
      </c>
      <c r="P24" s="6">
        <v>71</v>
      </c>
      <c r="Q24" s="6">
        <v>60</v>
      </c>
      <c r="R24" s="6">
        <v>66</v>
      </c>
      <c r="S24" s="6">
        <v>42</v>
      </c>
      <c r="T24" s="6">
        <v>52</v>
      </c>
      <c r="U24" s="6">
        <v>83</v>
      </c>
      <c r="V24" s="6">
        <v>70</v>
      </c>
      <c r="W24" s="6">
        <v>54</v>
      </c>
      <c r="X24" s="6">
        <v>72</v>
      </c>
    </row>
    <row r="25" spans="1:24" x14ac:dyDescent="0.25">
      <c r="J25" s="5" t="s">
        <v>25</v>
      </c>
      <c r="K25" s="12">
        <f ca="1">AVERAGE(K25:X25)</f>
        <v>60.5</v>
      </c>
      <c r="L25" s="6">
        <v>103</v>
      </c>
      <c r="M25" s="6">
        <v>107</v>
      </c>
      <c r="O25" s="6">
        <v>17</v>
      </c>
      <c r="P25" s="6">
        <v>56</v>
      </c>
      <c r="Q25" s="6">
        <v>42</v>
      </c>
      <c r="R25" s="6">
        <v>52</v>
      </c>
      <c r="S25" s="6">
        <v>23</v>
      </c>
      <c r="T25" s="6">
        <v>41</v>
      </c>
      <c r="U25" s="6">
        <v>84</v>
      </c>
      <c r="V25" s="6">
        <v>66</v>
      </c>
      <c r="W25" s="6">
        <v>59</v>
      </c>
      <c r="X25" s="6">
        <v>51</v>
      </c>
    </row>
    <row r="26" spans="1:24" s="8" customFormat="1" ht="15.6" thickBot="1" x14ac:dyDescent="0.3">
      <c r="A26" s="15"/>
      <c r="G26" s="15"/>
      <c r="J26" s="5" t="s">
        <v>26</v>
      </c>
      <c r="K26" s="12">
        <f ca="1">AVERAGE(K26:X26)</f>
        <v>62.5</v>
      </c>
      <c r="L26" s="6">
        <v>109</v>
      </c>
      <c r="M26" s="6">
        <v>95</v>
      </c>
      <c r="O26" s="6">
        <v>17</v>
      </c>
      <c r="P26" s="6">
        <v>66</v>
      </c>
      <c r="Q26" s="6">
        <v>44</v>
      </c>
      <c r="R26" s="6">
        <v>60</v>
      </c>
      <c r="S26" s="6">
        <v>48</v>
      </c>
      <c r="T26" s="6">
        <v>37</v>
      </c>
      <c r="U26" s="6">
        <v>81</v>
      </c>
      <c r="V26" s="6">
        <v>59</v>
      </c>
      <c r="W26" s="6">
        <v>64</v>
      </c>
      <c r="X26" s="6">
        <v>46</v>
      </c>
    </row>
    <row r="27" spans="1:24" ht="15.6" thickTop="1" x14ac:dyDescent="0.25">
      <c r="J27" s="5" t="s">
        <v>7</v>
      </c>
      <c r="K27" s="12">
        <f ca="1">AVERAGE(K27:X27)</f>
        <v>71.214285714285708</v>
      </c>
      <c r="L27" s="6">
        <v>94</v>
      </c>
      <c r="M27" s="6">
        <v>126</v>
      </c>
      <c r="O27" s="6">
        <v>21</v>
      </c>
      <c r="P27" s="6">
        <v>83</v>
      </c>
      <c r="Q27" s="6">
        <v>65</v>
      </c>
      <c r="R27" s="6">
        <v>66</v>
      </c>
      <c r="S27" s="6">
        <v>38</v>
      </c>
      <c r="T27" s="6">
        <v>63</v>
      </c>
      <c r="U27" s="6">
        <v>89</v>
      </c>
      <c r="V27" s="6">
        <v>66</v>
      </c>
      <c r="W27" s="6">
        <v>59</v>
      </c>
      <c r="X27" s="6">
        <v>66</v>
      </c>
    </row>
    <row r="28" spans="1:24" x14ac:dyDescent="0.25">
      <c r="J28" s="5" t="s">
        <v>6</v>
      </c>
      <c r="K28" s="12">
        <f ca="1">AVERAGE(K28:X28)</f>
        <v>67.571428571428569</v>
      </c>
      <c r="L28" s="6">
        <v>104</v>
      </c>
      <c r="M28" s="6">
        <v>133</v>
      </c>
      <c r="O28" s="6">
        <v>13</v>
      </c>
      <c r="P28" s="6">
        <v>79</v>
      </c>
      <c r="Q28" s="6">
        <v>80</v>
      </c>
      <c r="R28" s="6">
        <v>47</v>
      </c>
      <c r="S28" s="6">
        <v>24</v>
      </c>
      <c r="T28" s="6">
        <v>49</v>
      </c>
      <c r="U28" s="6">
        <v>70</v>
      </c>
      <c r="V28" s="6">
        <v>65</v>
      </c>
      <c r="W28" s="6">
        <v>68</v>
      </c>
      <c r="X28" s="6">
        <v>57</v>
      </c>
    </row>
    <row r="29" spans="1:24" x14ac:dyDescent="0.25">
      <c r="J29" s="5" t="s">
        <v>5</v>
      </c>
      <c r="K29" s="12">
        <f ca="1">AVERAGE(K29:X29)</f>
        <v>61.214285714285715</v>
      </c>
      <c r="L29" s="6">
        <v>88</v>
      </c>
      <c r="M29" s="6">
        <v>105</v>
      </c>
      <c r="O29" s="6">
        <v>22</v>
      </c>
      <c r="P29" s="6">
        <v>66</v>
      </c>
      <c r="Q29" s="6">
        <v>37</v>
      </c>
      <c r="R29" s="6">
        <v>63</v>
      </c>
      <c r="S29" s="6">
        <v>26</v>
      </c>
      <c r="T29" s="6">
        <v>52</v>
      </c>
      <c r="U29" s="6">
        <v>66</v>
      </c>
      <c r="V29" s="6">
        <v>55</v>
      </c>
      <c r="W29" s="6">
        <v>51</v>
      </c>
      <c r="X29" s="6">
        <v>69</v>
      </c>
    </row>
  </sheetData>
  <pageMargins left="0.75" right="0.75" top="1" bottom="1" header="0.5" footer="0.5"/>
  <pageSetup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Knaflic</dc:creator>
  <cp:lastModifiedBy>Antonín Višňák</cp:lastModifiedBy>
  <dcterms:created xsi:type="dcterms:W3CDTF">2019-01-28T21:05:54Z</dcterms:created>
  <dcterms:modified xsi:type="dcterms:W3CDTF">2025-12-15T08:36:08Z</dcterms:modified>
</cp:coreProperties>
</file>