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4p3\Documents\ujep\AVD1\"/>
    </mc:Choice>
  </mc:AlternateContent>
  <xr:revisionPtr revIDLastSave="0" documentId="13_ncr:1_{7AFC6BDD-AE6C-44C3-B6DE-AFF989C2ADF8}" xr6:coauthVersionLast="47" xr6:coauthVersionMax="47" xr10:uidLastSave="{00000000-0000-0000-0000-000000000000}"/>
  <bookViews>
    <workbookView xWindow="-108" yWindow="-108" windowWidth="23256" windowHeight="13896" firstSheet="1" activeTab="1" xr2:uid="{3095BA0B-7F52-4A9A-9669-92A26B1E4A80}"/>
  </bookViews>
  <sheets>
    <sheet name="zadání" sheetId="1" r:id="rId1"/>
    <sheet name="Obchodní plán" sheetId="7" r:id="rId2"/>
    <sheet name="ProdejeObchodnici" sheetId="10" r:id="rId3"/>
    <sheet name="Tabulka3" sheetId="9" r:id="rId4"/>
    <sheet name="rozdělení obchodníků" sheetId="6" r:id="rId5"/>
    <sheet name="Tabulka1" sheetId="8" r:id="rId6"/>
    <sheet name="prodeje" sheetId="5" r:id="rId7"/>
  </sheets>
  <definedNames>
    <definedName name="_xlnm._FilterDatabase" localSheetId="6" hidden="1">prodeje!$B$2:$H$521</definedName>
    <definedName name="_xlnm._FilterDatabase" localSheetId="4" hidden="1">'rozdělení obchodníků'!$B$2:$E$34</definedName>
    <definedName name="ExternalData_1" localSheetId="5" hidden="1">Tabulka1!$A$1:$K$6</definedName>
    <definedName name="ExternalData_1" localSheetId="3" hidden="1">Tabulka3!$A$1:$D$33</definedName>
    <definedName name="ExternalData_2" localSheetId="2" hidden="1">ProdejeObchodnici!$A$1:$J$470</definedName>
  </definedNames>
  <calcPr calcId="191029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7" l="1"/>
  <c r="N9" i="7"/>
  <c r="M9" i="7"/>
  <c r="D22" i="7"/>
  <c r="O7" i="7"/>
  <c r="O8" i="7"/>
  <c r="O6" i="7"/>
  <c r="I19" i="7"/>
  <c r="I18" i="7"/>
  <c r="I17" i="7"/>
  <c r="I16" i="7"/>
  <c r="I14" i="7"/>
  <c r="I13" i="7"/>
  <c r="I12" i="7"/>
  <c r="I11" i="7"/>
  <c r="I10" i="7"/>
  <c r="I9" i="7"/>
  <c r="I8" i="7"/>
  <c r="I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9AE286-24DA-4C25-A71E-9739EAC59EBA}" keepAlive="1" name="Dotaz – Nulový prodejci" description="Připojení k dotazu produktu Nulový prodejci v sešitě" type="5" refreshedVersion="8" background="1" saveData="1">
    <dbPr connection="Provider=Microsoft.Mashup.OleDb.1;Data Source=$Workbook$;Location=&quot;Nulový prodejci&quot;;Extended Properties=&quot;&quot;" command="SELECT * FROM [Nulový prodejci]"/>
  </connection>
  <connection id="2" xr16:uid="{FE8480B9-B207-4782-8D90-111210BD56B2}" keepAlive="1" name="Dotaz – NulovýProdejci" description="Připojení k dotazu produktu NulovýProdejci v sešitě" type="5" refreshedVersion="8" background="1" saveData="1">
    <dbPr connection="Provider=Microsoft.Mashup.OleDb.1;Data Source=$Workbook$;Location=NulovýProdejci;Extended Properties=&quot;&quot;" command="SELECT * FROM [NulovýProdejci]"/>
  </connection>
  <connection id="3" xr16:uid="{081A1863-ABBD-470A-BBE2-F0CFAC0CB288}" keepAlive="1" name="Dotaz – Sloučit1" description="Připojení k dotazu produktu Sloučit1 v sešitě" type="5" refreshedVersion="8" background="1" saveData="1">
    <dbPr connection="Provider=Microsoft.Mashup.OleDb.1;Data Source=$Workbook$;Location=Sloučit1;Extended Properties=&quot;&quot;" command="SELECT * FROM [Sloučit1]"/>
  </connection>
  <connection id="4" xr16:uid="{21366561-01E1-459A-8EC3-DA7CF1FCCDC3}" keepAlive="1" name="Dotaz – Tabulka3" description="Připojení k dotazu produktu Tabulka3 v sešitě" type="5" refreshedVersion="8" background="1" saveData="1">
    <dbPr connection="Provider=Microsoft.Mashup.OleDb.1;Data Source=$Workbook$;Location=Tabulka3;Extended Properties=&quot;&quot;" command="SELECT * FROM [Tabulka3]"/>
  </connection>
</connections>
</file>

<file path=xl/sharedStrings.xml><?xml version="1.0" encoding="utf-8"?>
<sst xmlns="http://schemas.openxmlformats.org/spreadsheetml/2006/main" count="5195" uniqueCount="98">
  <si>
    <t>Datum</t>
  </si>
  <si>
    <t>ID prodeje</t>
  </si>
  <si>
    <t>P088</t>
  </si>
  <si>
    <t>P073</t>
  </si>
  <si>
    <t>P043</t>
  </si>
  <si>
    <t>P023</t>
  </si>
  <si>
    <t>P058</t>
  </si>
  <si>
    <t>P063</t>
  </si>
  <si>
    <t>P072</t>
  </si>
  <si>
    <t>P037</t>
  </si>
  <si>
    <t>P031</t>
  </si>
  <si>
    <t>P032</t>
  </si>
  <si>
    <t>P136</t>
  </si>
  <si>
    <t>P040</t>
  </si>
  <si>
    <t>P222</t>
  </si>
  <si>
    <t>P220</t>
  </si>
  <si>
    <t>P127</t>
  </si>
  <si>
    <t>P111</t>
  </si>
  <si>
    <t>P112</t>
  </si>
  <si>
    <t>Obchodník</t>
  </si>
  <si>
    <t>Region</t>
  </si>
  <si>
    <t>Bouše</t>
  </si>
  <si>
    <t>Filipovský</t>
  </si>
  <si>
    <t>P005</t>
  </si>
  <si>
    <t>Havelka</t>
  </si>
  <si>
    <t>Holý</t>
  </si>
  <si>
    <t>Hrubá</t>
  </si>
  <si>
    <t>Janovčík</t>
  </si>
  <si>
    <t>Marvan</t>
  </si>
  <si>
    <t>P008</t>
  </si>
  <si>
    <t>Mladá</t>
  </si>
  <si>
    <t>P021</t>
  </si>
  <si>
    <t>Mladý</t>
  </si>
  <si>
    <t>Praha</t>
  </si>
  <si>
    <t>Náhlovská</t>
  </si>
  <si>
    <t>Nebohý</t>
  </si>
  <si>
    <t>Novák</t>
  </si>
  <si>
    <t>Novotný</t>
  </si>
  <si>
    <t>Pavelka</t>
  </si>
  <si>
    <t>P119</t>
  </si>
  <si>
    <t>Šlajs</t>
  </si>
  <si>
    <t>P007</t>
  </si>
  <si>
    <t>Trlík</t>
  </si>
  <si>
    <t>Tuček</t>
  </si>
  <si>
    <t>P002</t>
  </si>
  <si>
    <t>Veselá</t>
  </si>
  <si>
    <t>Vodička</t>
  </si>
  <si>
    <t>Zouvar</t>
  </si>
  <si>
    <t>P102</t>
  </si>
  <si>
    <t>Včelník</t>
  </si>
  <si>
    <t>P020</t>
  </si>
  <si>
    <t>Potůček</t>
  </si>
  <si>
    <t>P035</t>
  </si>
  <si>
    <t>Bohatá</t>
  </si>
  <si>
    <t>P059</t>
  </si>
  <si>
    <t>P060</t>
  </si>
  <si>
    <t>P113</t>
  </si>
  <si>
    <t>Gondolán</t>
  </si>
  <si>
    <t>ID prodejce</t>
  </si>
  <si>
    <t>Janoušek</t>
  </si>
  <si>
    <t>P081</t>
  </si>
  <si>
    <t>Hu Dyong</t>
  </si>
  <si>
    <t>P083</t>
  </si>
  <si>
    <t>Kabik</t>
  </si>
  <si>
    <t>P089</t>
  </si>
  <si>
    <t>Valleryj</t>
  </si>
  <si>
    <t>Nástup</t>
  </si>
  <si>
    <t>Skupina produktů</t>
  </si>
  <si>
    <t>Smutný</t>
  </si>
  <si>
    <t>Staroch</t>
  </si>
  <si>
    <t>Tvrdík</t>
  </si>
  <si>
    <t>Chudý</t>
  </si>
  <si>
    <t>Prodejní plán</t>
  </si>
  <si>
    <t>Měsíc</t>
  </si>
  <si>
    <t>Morava</t>
  </si>
  <si>
    <t>Čechy</t>
  </si>
  <si>
    <t>typ</t>
  </si>
  <si>
    <t>nákup</t>
  </si>
  <si>
    <t>Výše plánu prodejů</t>
  </si>
  <si>
    <t>typ fondu</t>
  </si>
  <si>
    <t>Konzervativní fond</t>
  </si>
  <si>
    <t>Akciový fond</t>
  </si>
  <si>
    <t>Vyvážený  fond</t>
  </si>
  <si>
    <t>odkup</t>
  </si>
  <si>
    <t>výše investice</t>
  </si>
  <si>
    <t>investice</t>
  </si>
  <si>
    <t>Součet z výše investice</t>
  </si>
  <si>
    <t>Popisky řádků</t>
  </si>
  <si>
    <t>Celkový součet</t>
  </si>
  <si>
    <t>X</t>
  </si>
  <si>
    <t>Měsíce (Datum)</t>
  </si>
  <si>
    <t>Plnění</t>
  </si>
  <si>
    <t>Výše plánu</t>
  </si>
  <si>
    <t>Prodeje</t>
  </si>
  <si>
    <t>Plán na prodejce</t>
  </si>
  <si>
    <t>Plnění s nulovými obchodníky</t>
  </si>
  <si>
    <t>Celkové</t>
  </si>
  <si>
    <t>ID prodejce.1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</si>
</sst>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#,##0\ &quot;Kč&quot;"/>
  </numFmts>
  <fonts count="4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0" fontId="2" fillId="0" borderId="0" xfId="0" applyFont="1"/>
    <xf numFmtId="3" fontId="2" fillId="0" borderId="0" xfId="0" applyNumberFormat="1" applyFon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  <xf numFmtId="44" fontId="2" fillId="0" borderId="2" xfId="1" applyNumberFormat="1" applyFont="1" applyBorder="1"/>
    <xf numFmtId="9" fontId="0" fillId="0" borderId="0" xfId="2" applyFont="1"/>
    <xf numFmtId="44" fontId="0" fillId="2" borderId="1" xfId="1" applyFont="1" applyFill="1" applyBorder="1"/>
    <xf numFmtId="44" fontId="0" fillId="0" borderId="1" xfId="1" applyFont="1" applyBorder="1"/>
    <xf numFmtId="44" fontId="0" fillId="0" borderId="0" xfId="0" applyNumberFormat="1"/>
    <xf numFmtId="9" fontId="0" fillId="0" borderId="0" xfId="2" applyFont="1" applyFill="1" applyBorder="1"/>
    <xf numFmtId="10" fontId="0" fillId="0" borderId="0" xfId="2" applyNumberFormat="1" applyFont="1"/>
  </cellXfs>
  <cellStyles count="3">
    <cellStyle name="Měna" xfId="1" builtinId="4"/>
    <cellStyle name="Normální" xfId="0" builtinId="0"/>
    <cellStyle name="Procenta" xfId="2" builtinId="5"/>
  </cellStyles>
  <dxfs count="27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386953</xdr:colOff>
      <xdr:row>17</xdr:row>
      <xdr:rowOff>107155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84EC19A-FB03-443C-9484-705B9BF31915}"/>
            </a:ext>
          </a:extLst>
        </xdr:cNvPr>
        <xdr:cNvSpPr txBox="1"/>
      </xdr:nvSpPr>
      <xdr:spPr>
        <a:xfrm>
          <a:off x="0" y="0"/>
          <a:ext cx="7673578" cy="3345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Zadání:</a:t>
          </a: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Pracujete v útaru, jenž zpracovává analýzy prodejů prodejní sítě firmy Investice s.r.o.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Investice s.r.o. funguje jako prodejce investic různých investičních společností koncové klienty.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Samozřejmě jako v každé obchodní firmě, je nastaven prodejní plán za společnost i rozdělení pro jednotlivé regiony. Rozdělení mezi  konkrétní obchodníky v daném regionu je rovnoměrné (detail je na listu Obchodní plán).  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Podkladové informace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realizovaných prodejích, které jste získali z dataskladu máte na dalších listech tohoto souboru.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aktuální poradě manažerů, kde se budou procházet prodejní výsledky společnosti Investice s.r.o.. Vám připadl úkol odprezentovat výsledky prodeje investic za měsíc říjen 2025. Očekávájí se od vás dvě informace:</a:t>
          </a:r>
          <a:b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jak se podařilo splnit prodejní plán měsíce</a:t>
          </a:r>
          <a:b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jak by vypadalo plnění, pokud by nebyl žádný obchodník s nulovým prodejem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ín Višňák" refreshedDate="46027.399841782404" createdVersion="8" refreshedVersion="8" minRefreshableVersion="3" recordCount="492" xr:uid="{288AAF0F-C843-4FF5-9C4F-44BC2C8A73E3}">
  <cacheSource type="worksheet">
    <worksheetSource name="Sloučit1"/>
  </cacheSource>
  <cacheFields count="12">
    <cacheField name="Datum" numFmtId="22">
      <sharedItems containsSemiMixedTypes="0" containsNonDate="0" containsDate="1" containsString="0" minDate="2025-09-25T00:00:00" maxDate="2025-11-04T00:00:00" count="36">
        <d v="2025-09-25T00:00:00"/>
        <d v="2025-10-02T00:00:00"/>
        <d v="2025-09-28T00:00:00"/>
        <d v="2025-09-30T00:00:00"/>
        <d v="2025-09-29T00:00:00"/>
        <d v="2025-10-01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1-02T00:00:00"/>
        <d v="2025-11-03T00:00:00"/>
      </sharedItems>
      <fieldGroup par="11"/>
    </cacheField>
    <cacheField name="ID prodeje" numFmtId="0">
      <sharedItems containsSemiMixedTypes="0" containsString="0" containsNumber="1" containsInteger="1" minValue="20220003926" maxValue="20220014079"/>
    </cacheField>
    <cacheField name="Skupina produktů" numFmtId="0">
      <sharedItems/>
    </cacheField>
    <cacheField name="typ fondu" numFmtId="0">
      <sharedItems/>
    </cacheField>
    <cacheField name="typ" numFmtId="0">
      <sharedItems/>
    </cacheField>
    <cacheField name="ID prodejce" numFmtId="0">
      <sharedItems/>
    </cacheField>
    <cacheField name="výše investice" numFmtId="0">
      <sharedItems containsSemiMixedTypes="0" containsString="0" containsNumber="1" containsInteger="1" minValue="100000" maxValue="3000000"/>
    </cacheField>
    <cacheField name="Obchodník" numFmtId="0">
      <sharedItems count="26">
        <s v="Novák"/>
        <s v="Bohatá"/>
        <s v="Mladý"/>
        <s v="Chudý"/>
        <s v="Gondolán"/>
        <s v="Potůček"/>
        <s v="Havelka"/>
        <s v="Holý"/>
        <s v="Trlík"/>
        <s v="Vodička"/>
        <s v="Novotný"/>
        <s v="Šlajs"/>
        <s v="Tuček"/>
        <s v="Včelník"/>
        <s v="Zouvar"/>
        <s v="Valleryj"/>
        <s v="Smutný"/>
        <s v="Bouše"/>
        <s v="Marvan"/>
        <s v="Hu Dyong"/>
        <s v="Náhlovská"/>
        <s v="Nebohý"/>
        <s v="Kabik"/>
        <s v="Janovčík"/>
        <s v="Tvrdík"/>
        <s v="Staroch"/>
      </sharedItems>
    </cacheField>
    <cacheField name="Region" numFmtId="0">
      <sharedItems count="3">
        <s v="Praha"/>
        <s v="Čechy"/>
        <s v="Morava"/>
      </sharedItems>
    </cacheField>
    <cacheField name="Nástup" numFmtId="22">
      <sharedItems containsSemiMixedTypes="0" containsNonDate="0" containsDate="1" containsString="0" minDate="2023-02-01T00:00:00" maxDate="2025-09-02T00:00:00"/>
    </cacheField>
    <cacheField name="Dny (Datum)" numFmtId="0" databaseField="0">
      <fieldGroup base="0">
        <rangePr groupBy="days" startDate="2025-09-25T00:00:00" endDate="2025-11-04T00:00:00"/>
        <groupItems count="368">
          <s v="&lt;25.09.2025"/>
          <s v="01.I"/>
          <s v="02.I"/>
          <s v="03.I"/>
          <s v="04.I"/>
          <s v="05.I"/>
          <s v="06.I"/>
          <s v="07.I"/>
          <s v="08.I"/>
          <s v="09.I"/>
          <s v="10.I"/>
          <s v="11.I"/>
          <s v="12.I"/>
          <s v="13.I"/>
          <s v="14.I"/>
          <s v="15.I"/>
          <s v="16.I"/>
          <s v="17.I"/>
          <s v="18.I"/>
          <s v="19.I"/>
          <s v="20.I"/>
          <s v="21.I"/>
          <s v="22.I"/>
          <s v="23.I"/>
          <s v="24.I"/>
          <s v="25.I"/>
          <s v="26.I"/>
          <s v="27.I"/>
          <s v="28.I"/>
          <s v="29.I"/>
          <s v="30.I"/>
          <s v="31.I"/>
          <s v="01.II"/>
          <s v="02.II"/>
          <s v="03.II"/>
          <s v="04.II"/>
          <s v="05.II"/>
          <s v="06.II"/>
          <s v="07.II"/>
          <s v="08.II"/>
          <s v="09.II"/>
          <s v="10.II"/>
          <s v="11.II"/>
          <s v="12.II"/>
          <s v="13.II"/>
          <s v="14.II"/>
          <s v="15.II"/>
          <s v="16.II"/>
          <s v="17.II"/>
          <s v="18.II"/>
          <s v="19.II"/>
          <s v="20.II"/>
          <s v="21.II"/>
          <s v="22.II"/>
          <s v="23.II"/>
          <s v="24.II"/>
          <s v="25.II"/>
          <s v="26.II"/>
          <s v="27.II"/>
          <s v="28.II"/>
          <s v="29.II"/>
          <s v="01.III"/>
          <s v="02.III"/>
          <s v="03.III"/>
          <s v="04.III"/>
          <s v="05.III"/>
          <s v="06.III"/>
          <s v="07.III"/>
          <s v="08.III"/>
          <s v="09.III"/>
          <s v="10.III"/>
          <s v="11.III"/>
          <s v="12.III"/>
          <s v="13.III"/>
          <s v="14.III"/>
          <s v="15.III"/>
          <s v="16.III"/>
          <s v="17.III"/>
          <s v="18.III"/>
          <s v="19.III"/>
          <s v="20.III"/>
          <s v="21.III"/>
          <s v="22.III"/>
          <s v="23.III"/>
          <s v="24.III"/>
          <s v="25.III"/>
          <s v="26.III"/>
          <s v="27.III"/>
          <s v="28.III"/>
          <s v="29.III"/>
          <s v="30.III"/>
          <s v="31.III"/>
          <s v="01.IV"/>
          <s v="02.IV"/>
          <s v="03.IV"/>
          <s v="04.IV"/>
          <s v="05.IV"/>
          <s v="06.IV"/>
          <s v="07.IV"/>
          <s v="08.IV"/>
          <s v="09.IV"/>
          <s v="10.IV"/>
          <s v="11.IV"/>
          <s v="12.IV"/>
          <s v="13.IV"/>
          <s v="14.IV"/>
          <s v="15.IV"/>
          <s v="16.IV"/>
          <s v="17.IV"/>
          <s v="18.IV"/>
          <s v="19.IV"/>
          <s v="20.IV"/>
          <s v="21.IV"/>
          <s v="22.IV"/>
          <s v="23.IV"/>
          <s v="24.IV"/>
          <s v="25.IV"/>
          <s v="26.IV"/>
          <s v="27.IV"/>
          <s v="28.IV"/>
          <s v="29.IV"/>
          <s v="30.IV"/>
          <s v="01.V"/>
          <s v="02.V"/>
          <s v="03.V"/>
          <s v="04.V"/>
          <s v="05.V"/>
          <s v="06.V"/>
          <s v="07.V"/>
          <s v="08.V"/>
          <s v="09.V"/>
          <s v="10.V"/>
          <s v="11.V"/>
          <s v="12.V"/>
          <s v="13.V"/>
          <s v="14.V"/>
          <s v="15.V"/>
          <s v="16.V"/>
          <s v="17.V"/>
          <s v="18.V"/>
          <s v="19.V"/>
          <s v="20.V"/>
          <s v="21.V"/>
          <s v="22.V"/>
          <s v="23.V"/>
          <s v="24.V"/>
          <s v="25.V"/>
          <s v="26.V"/>
          <s v="27.V"/>
          <s v="28.V"/>
          <s v="29.V"/>
          <s v="30.V"/>
          <s v="31.V"/>
          <s v="01.VI"/>
          <s v="02.VI"/>
          <s v="03.VI"/>
          <s v="04.VI"/>
          <s v="05.VI"/>
          <s v="06.VI"/>
          <s v="07.VI"/>
          <s v="08.VI"/>
          <s v="09.VI"/>
          <s v="10.VI"/>
          <s v="11.VI"/>
          <s v="12.VI"/>
          <s v="13.VI"/>
          <s v="14.VI"/>
          <s v="15.VI"/>
          <s v="16.VI"/>
          <s v="17.VI"/>
          <s v="18.VI"/>
          <s v="19.VI"/>
          <s v="20.VI"/>
          <s v="21.VI"/>
          <s v="22.VI"/>
          <s v="23.VI"/>
          <s v="24.VI"/>
          <s v="25.VI"/>
          <s v="26.VI"/>
          <s v="27.VI"/>
          <s v="28.VI"/>
          <s v="29.VI"/>
          <s v="30.VI"/>
          <s v="01.VII"/>
          <s v="02.VII"/>
          <s v="03.VII"/>
          <s v="04.VII"/>
          <s v="05.VII"/>
          <s v="06.VII"/>
          <s v="07.VII"/>
          <s v="08.VII"/>
          <s v="09.VII"/>
          <s v="10.VII"/>
          <s v="11.VII"/>
          <s v="12.VII"/>
          <s v="13.VII"/>
          <s v="14.VII"/>
          <s v="15.VII"/>
          <s v="16.VII"/>
          <s v="17.VII"/>
          <s v="18.VII"/>
          <s v="19.VII"/>
          <s v="20.VII"/>
          <s v="21.VII"/>
          <s v="22.VII"/>
          <s v="23.VII"/>
          <s v="24.VII"/>
          <s v="25.VII"/>
          <s v="26.VII"/>
          <s v="27.VII"/>
          <s v="28.VII"/>
          <s v="29.VII"/>
          <s v="30.VII"/>
          <s v="31.VII"/>
          <s v="01.VIII"/>
          <s v="02.VIII"/>
          <s v="03.VIII"/>
          <s v="04.VIII"/>
          <s v="05.VIII"/>
          <s v="06.VIII"/>
          <s v="07.VIII"/>
          <s v="08.VIII"/>
          <s v="09.VIII"/>
          <s v="10.VIII"/>
          <s v="11.VIII"/>
          <s v="12.VIII"/>
          <s v="13.VIII"/>
          <s v="14.VIII"/>
          <s v="15.VIII"/>
          <s v="16.VIII"/>
          <s v="17.VIII"/>
          <s v="18.VIII"/>
          <s v="19.VIII"/>
          <s v="20.VIII"/>
          <s v="21.VIII"/>
          <s v="22.VIII"/>
          <s v="23.VIII"/>
          <s v="24.VIII"/>
          <s v="25.VIII"/>
          <s v="26.VIII"/>
          <s v="27.VIII"/>
          <s v="28.VIII"/>
          <s v="29.VIII"/>
          <s v="30.VIII"/>
          <s v="31.VIII"/>
          <s v="01.IX"/>
          <s v="02.IX"/>
          <s v="03.IX"/>
          <s v="04.IX"/>
          <s v="05.IX"/>
          <s v="06.IX"/>
          <s v="07.IX"/>
          <s v="08.IX"/>
          <s v="09.IX"/>
          <s v="10.IX"/>
          <s v="11.IX"/>
          <s v="12.IX"/>
          <s v="13.IX"/>
          <s v="14.IX"/>
          <s v="15.IX"/>
          <s v="16.IX"/>
          <s v="17.IX"/>
          <s v="18.IX"/>
          <s v="19.IX"/>
          <s v="20.IX"/>
          <s v="21.IX"/>
          <s v="22.IX"/>
          <s v="23.IX"/>
          <s v="24.IX"/>
          <s v="25.IX"/>
          <s v="26.IX"/>
          <s v="27.IX"/>
          <s v="28.IX"/>
          <s v="29.IX"/>
          <s v="30.IX"/>
          <s v="01.X"/>
          <s v="02.X"/>
          <s v="03.X"/>
          <s v="04.X"/>
          <s v="05.X"/>
          <s v="06.X"/>
          <s v="07.X"/>
          <s v="08.X"/>
          <s v="09.X"/>
          <s v="10.X"/>
          <s v="11.X"/>
          <s v="12.X"/>
          <s v="13.X"/>
          <s v="14.X"/>
          <s v="15.X"/>
          <s v="16.X"/>
          <s v="17.X"/>
          <s v="18.X"/>
          <s v="19.X"/>
          <s v="20.X"/>
          <s v="21.X"/>
          <s v="22.X"/>
          <s v="23.X"/>
          <s v="24.X"/>
          <s v="25.X"/>
          <s v="26.X"/>
          <s v="27.X"/>
          <s v="28.X"/>
          <s v="29.X"/>
          <s v="30.X"/>
          <s v="31.X"/>
          <s v="01.XI"/>
          <s v="02.XI"/>
          <s v="03.XI"/>
          <s v="04.XI"/>
          <s v="05.XI"/>
          <s v="06.XI"/>
          <s v="07.XI"/>
          <s v="08.XI"/>
          <s v="09.XI"/>
          <s v="10.XI"/>
          <s v="11.XI"/>
          <s v="12.XI"/>
          <s v="13.XI"/>
          <s v="14.XI"/>
          <s v="15.XI"/>
          <s v="16.XI"/>
          <s v="17.XI"/>
          <s v="18.XI"/>
          <s v="19.XI"/>
          <s v="20.XI"/>
          <s v="21.XI"/>
          <s v="22.XI"/>
          <s v="23.XI"/>
          <s v="24.XI"/>
          <s v="25.XI"/>
          <s v="26.XI"/>
          <s v="27.XI"/>
          <s v="28.XI"/>
          <s v="29.XI"/>
          <s v="30.XI"/>
          <s v="01.XII"/>
          <s v="02.XII"/>
          <s v="03.XII"/>
          <s v="04.XII"/>
          <s v="05.XII"/>
          <s v="06.XII"/>
          <s v="07.XII"/>
          <s v="08.XII"/>
          <s v="09.XII"/>
          <s v="10.XII"/>
          <s v="11.XII"/>
          <s v="12.XII"/>
          <s v="13.XII"/>
          <s v="14.XII"/>
          <s v="15.XII"/>
          <s v="16.XII"/>
          <s v="17.XII"/>
          <s v="18.XII"/>
          <s v="19.XII"/>
          <s v="20.XII"/>
          <s v="21.XII"/>
          <s v="22.XII"/>
          <s v="23.XII"/>
          <s v="24.XII"/>
          <s v="25.XII"/>
          <s v="26.XII"/>
          <s v="27.XII"/>
          <s v="28.XII"/>
          <s v="29.XII"/>
          <s v="30.XII"/>
          <s v="31.XII"/>
          <s v="&gt;04.11.2025"/>
        </groupItems>
      </fieldGroup>
    </cacheField>
    <cacheField name="Měsíce (Datum)" numFmtId="0" databaseField="0">
      <fieldGroup base="0">
        <rangePr groupBy="months" startDate="2025-09-25T00:00:00" endDate="2025-11-04T00:00:00"/>
        <groupItems count="14">
          <s v="&lt;25.09.2025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04.1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n v="20220003926"/>
    <s v="investice"/>
    <s v="Konzervativní fond"/>
    <s v="nákup"/>
    <s v="P023"/>
    <n v="100000"/>
    <x v="0"/>
    <x v="0"/>
    <d v="2025-04-01T00:00:00"/>
  </r>
  <r>
    <x v="1"/>
    <n v="20220012603"/>
    <s v="investice"/>
    <s v="Konzervativní fond"/>
    <s v="nákup"/>
    <s v="P023"/>
    <n v="1100000"/>
    <x v="0"/>
    <x v="0"/>
    <d v="2025-04-01T00:00:00"/>
  </r>
  <r>
    <x v="1"/>
    <n v="20220012621"/>
    <s v="investice"/>
    <s v="Konzervativní fond"/>
    <s v="nákup"/>
    <s v="P023"/>
    <n v="1000000"/>
    <x v="0"/>
    <x v="0"/>
    <d v="2025-04-01T00:00:00"/>
  </r>
  <r>
    <x v="1"/>
    <n v="20220012624"/>
    <s v="investice"/>
    <s v="Konzervativní fond"/>
    <s v="nákup"/>
    <s v="P023"/>
    <n v="2000000"/>
    <x v="0"/>
    <x v="0"/>
    <d v="2025-04-01T00:00:00"/>
  </r>
  <r>
    <x v="1"/>
    <n v="20220012591"/>
    <s v="investice"/>
    <s v="Akciový fond"/>
    <s v="nákup"/>
    <s v="P035"/>
    <n v="1500000"/>
    <x v="1"/>
    <x v="1"/>
    <d v="2023-02-01T00:00:00"/>
  </r>
  <r>
    <x v="0"/>
    <n v="20220003929"/>
    <s v="investice"/>
    <s v="Konzervativní fond"/>
    <s v="nákup"/>
    <s v="P072"/>
    <n v="100000"/>
    <x v="2"/>
    <x v="0"/>
    <d v="2024-04-01T00:00:00"/>
  </r>
  <r>
    <x v="0"/>
    <n v="20220003932"/>
    <s v="investice"/>
    <s v="Konzervativní fond"/>
    <s v="nákup"/>
    <s v="P072"/>
    <n v="1500000"/>
    <x v="2"/>
    <x v="0"/>
    <d v="2024-04-01T00:00:00"/>
  </r>
  <r>
    <x v="0"/>
    <n v="20220003935"/>
    <s v="investice"/>
    <s v="Konzervativní fond"/>
    <s v="nákup"/>
    <s v="P072"/>
    <n v="1500000"/>
    <x v="2"/>
    <x v="0"/>
    <d v="2024-04-01T00:00:00"/>
  </r>
  <r>
    <x v="2"/>
    <n v="20220003938"/>
    <s v="investice"/>
    <s v="Konzervativní fond"/>
    <s v="nákup"/>
    <s v="P072"/>
    <n v="500000"/>
    <x v="2"/>
    <x v="0"/>
    <d v="2024-04-01T00:00:00"/>
  </r>
  <r>
    <x v="1"/>
    <n v="20220012582"/>
    <s v="investice"/>
    <s v="Konzervativní fond"/>
    <s v="nákup"/>
    <s v="P072"/>
    <n v="2000000"/>
    <x v="2"/>
    <x v="0"/>
    <d v="2024-04-01T00:00:00"/>
  </r>
  <r>
    <x v="1"/>
    <n v="20220012606"/>
    <s v="investice"/>
    <s v="Konzervativní fond"/>
    <s v="nákup"/>
    <s v="P072"/>
    <n v="100000"/>
    <x v="2"/>
    <x v="0"/>
    <d v="2024-04-01T00:00:00"/>
  </r>
  <r>
    <x v="3"/>
    <n v="20220012561"/>
    <s v="investice"/>
    <s v="Konzervativní fond"/>
    <s v="nákup"/>
    <s v="P059"/>
    <n v="250000"/>
    <x v="3"/>
    <x v="1"/>
    <d v="2025-03-01T00:00:00"/>
  </r>
  <r>
    <x v="3"/>
    <n v="20220012563"/>
    <s v="investice"/>
    <s v="Vyvážený  fond"/>
    <s v="nákup"/>
    <s v="P059"/>
    <n v="1500000"/>
    <x v="3"/>
    <x v="1"/>
    <d v="2025-03-01T00:00:00"/>
  </r>
  <r>
    <x v="3"/>
    <n v="20220012565"/>
    <s v="investice"/>
    <s v="Akciový fond"/>
    <s v="nákup"/>
    <s v="P059"/>
    <n v="450000"/>
    <x v="3"/>
    <x v="1"/>
    <d v="2025-03-01T00:00:00"/>
  </r>
  <r>
    <x v="3"/>
    <n v="20220012566"/>
    <s v="investice"/>
    <s v="Akciový fond"/>
    <s v="nákup"/>
    <s v="P113"/>
    <n v="1000000"/>
    <x v="4"/>
    <x v="2"/>
    <d v="2024-10-01T00:00:00"/>
  </r>
  <r>
    <x v="1"/>
    <n v="20220012576"/>
    <s v="investice"/>
    <s v="Akciový fond"/>
    <s v="nákup"/>
    <s v="P113"/>
    <n v="1200000"/>
    <x v="4"/>
    <x v="2"/>
    <d v="2024-10-01T00:00:00"/>
  </r>
  <r>
    <x v="2"/>
    <n v="20220003941"/>
    <s v="investice"/>
    <s v="Konzervativní fond"/>
    <s v="nákup"/>
    <s v="P020"/>
    <n v="500000"/>
    <x v="5"/>
    <x v="0"/>
    <d v="2023-02-01T00:00:00"/>
  </r>
  <r>
    <x v="2"/>
    <n v="20220003944"/>
    <s v="investice"/>
    <s v="Konzervativní fond"/>
    <s v="nákup"/>
    <s v="P020"/>
    <n v="1000000"/>
    <x v="5"/>
    <x v="0"/>
    <d v="2023-02-01T00:00:00"/>
  </r>
  <r>
    <x v="1"/>
    <n v="20220012585"/>
    <s v="investice"/>
    <s v="Akciový fond"/>
    <s v="nákup"/>
    <s v="P111"/>
    <n v="750000"/>
    <x v="6"/>
    <x v="2"/>
    <d v="2024-04-01T00:00:00"/>
  </r>
  <r>
    <x v="1"/>
    <n v="20220012588"/>
    <s v="investice"/>
    <s v="Akciový fond"/>
    <s v="nákup"/>
    <s v="P111"/>
    <n v="300000"/>
    <x v="6"/>
    <x v="2"/>
    <d v="2024-04-01T00:00:00"/>
  </r>
  <r>
    <x v="1"/>
    <n v="20220012627"/>
    <s v="investice"/>
    <s v="Konzervativní fond"/>
    <s v="nákup"/>
    <s v="P111"/>
    <n v="450000"/>
    <x v="6"/>
    <x v="2"/>
    <d v="2024-04-01T00:00:00"/>
  </r>
  <r>
    <x v="1"/>
    <n v="20220012579"/>
    <s v="investice"/>
    <s v="Konzervativní fond"/>
    <s v="nákup"/>
    <s v="P088"/>
    <n v="300000"/>
    <x v="7"/>
    <x v="1"/>
    <d v="2025-06-01T00:00:00"/>
  </r>
  <r>
    <x v="1"/>
    <n v="20220012609"/>
    <s v="investice"/>
    <s v="Konzervativní fond"/>
    <s v="nákup"/>
    <s v="P088"/>
    <n v="100000"/>
    <x v="7"/>
    <x v="1"/>
    <d v="2025-06-01T00:00:00"/>
  </r>
  <r>
    <x v="1"/>
    <n v="20220012612"/>
    <s v="investice"/>
    <s v="Konzervativní fond"/>
    <s v="nákup"/>
    <s v="P088"/>
    <n v="1000000"/>
    <x v="7"/>
    <x v="1"/>
    <d v="2025-06-01T00:00:00"/>
  </r>
  <r>
    <x v="1"/>
    <n v="20220012615"/>
    <s v="investice"/>
    <s v="Akciový fond"/>
    <s v="nákup"/>
    <s v="P088"/>
    <n v="250000"/>
    <x v="7"/>
    <x v="1"/>
    <d v="2025-06-01T00:00:00"/>
  </r>
  <r>
    <x v="2"/>
    <n v="20220003947"/>
    <s v="investice"/>
    <s v="Akciový fond"/>
    <s v="nákup"/>
    <s v="P037"/>
    <n v="100000"/>
    <x v="8"/>
    <x v="0"/>
    <d v="2023-02-01T00:00:00"/>
  </r>
  <r>
    <x v="4"/>
    <n v="20220003950"/>
    <s v="investice"/>
    <s v="Akciový fond"/>
    <s v="nákup"/>
    <s v="P031"/>
    <n v="1000000"/>
    <x v="9"/>
    <x v="1"/>
    <d v="2023-02-01T00:00:00"/>
  </r>
  <r>
    <x v="5"/>
    <n v="20220012572"/>
    <s v="investice"/>
    <s v="Akciový fond"/>
    <s v="nákup"/>
    <s v="P031"/>
    <n v="1450000"/>
    <x v="9"/>
    <x v="1"/>
    <d v="2023-02-01T00:00:00"/>
  </r>
  <r>
    <x v="5"/>
    <n v="20220012573"/>
    <s v="investice"/>
    <s v="Akciový fond"/>
    <s v="nákup"/>
    <s v="P031"/>
    <n v="300000"/>
    <x v="9"/>
    <x v="1"/>
    <d v="2023-02-01T00:00:00"/>
  </r>
  <r>
    <x v="1"/>
    <n v="20220012594"/>
    <s v="investice"/>
    <s v="Akciový fond"/>
    <s v="nákup"/>
    <s v="P127"/>
    <n v="600000"/>
    <x v="10"/>
    <x v="2"/>
    <d v="2024-10-01T00:00:00"/>
  </r>
  <r>
    <x v="1"/>
    <n v="20220012597"/>
    <s v="investice"/>
    <s v="Akciový fond"/>
    <s v="nákup"/>
    <s v="P127"/>
    <n v="600000"/>
    <x v="10"/>
    <x v="2"/>
    <d v="2024-10-01T00:00:00"/>
  </r>
  <r>
    <x v="1"/>
    <n v="20220012600"/>
    <s v="investice"/>
    <s v="Konzervativní fond"/>
    <s v="nákup"/>
    <s v="P007"/>
    <n v="1000000"/>
    <x v="11"/>
    <x v="0"/>
    <d v="2025-06-01T00:00:00"/>
  </r>
  <r>
    <x v="1"/>
    <n v="20220012618"/>
    <s v="investice"/>
    <s v="Konzervativní fond"/>
    <s v="nákup"/>
    <s v="P007"/>
    <n v="300000"/>
    <x v="11"/>
    <x v="0"/>
    <d v="2025-06-01T00:00:00"/>
  </r>
  <r>
    <x v="1"/>
    <n v="20220012630"/>
    <s v="investice"/>
    <s v="Konzervativní fond"/>
    <s v="nákup"/>
    <s v="P111"/>
    <n v="450000"/>
    <x v="6"/>
    <x v="2"/>
    <d v="2024-04-01T00:00:00"/>
  </r>
  <r>
    <x v="1"/>
    <n v="20220012633"/>
    <s v="investice"/>
    <s v="Konzervativní fond"/>
    <s v="nákup"/>
    <s v="P111"/>
    <n v="1450000"/>
    <x v="6"/>
    <x v="2"/>
    <d v="2024-04-01T00:00:00"/>
  </r>
  <r>
    <x v="1"/>
    <n v="20220012645"/>
    <s v="investice"/>
    <s v="Vyvážený  fond"/>
    <s v="nákup"/>
    <s v="P088"/>
    <n v="1650000"/>
    <x v="7"/>
    <x v="1"/>
    <d v="2025-06-01T00:00:00"/>
  </r>
  <r>
    <x v="1"/>
    <n v="20220012648"/>
    <s v="investice"/>
    <s v="Vyvážený  fond"/>
    <s v="nákup"/>
    <s v="P088"/>
    <n v="450000"/>
    <x v="7"/>
    <x v="1"/>
    <d v="2025-06-01T00:00:00"/>
  </r>
  <r>
    <x v="1"/>
    <n v="20220012651"/>
    <s v="investice"/>
    <s v="Vyvážený  fond"/>
    <s v="nákup"/>
    <s v="P088"/>
    <n v="450000"/>
    <x v="7"/>
    <x v="1"/>
    <d v="2025-06-01T00:00:00"/>
  </r>
  <r>
    <x v="1"/>
    <n v="20220012654"/>
    <s v="investice"/>
    <s v="Akciový fond"/>
    <s v="nákup"/>
    <s v="P023"/>
    <n v="1000000"/>
    <x v="0"/>
    <x v="0"/>
    <d v="2025-04-01T00:00:00"/>
  </r>
  <r>
    <x v="1"/>
    <n v="20220012657"/>
    <s v="investice"/>
    <s v="Akciový fond"/>
    <s v="nákup"/>
    <s v="P072"/>
    <n v="100000"/>
    <x v="2"/>
    <x v="0"/>
    <d v="2024-04-01T00:00:00"/>
  </r>
  <r>
    <x v="1"/>
    <n v="20220012660"/>
    <s v="investice"/>
    <s v="Akciový fond"/>
    <s v="nákup"/>
    <s v="P072"/>
    <n v="100000"/>
    <x v="2"/>
    <x v="0"/>
    <d v="2024-04-01T00:00:00"/>
  </r>
  <r>
    <x v="1"/>
    <n v="20220012663"/>
    <s v="investice"/>
    <s v="Vyvážený  fond"/>
    <s v="nákup"/>
    <s v="P111"/>
    <n v="1000000"/>
    <x v="6"/>
    <x v="2"/>
    <d v="2024-04-01T00:00:00"/>
  </r>
  <r>
    <x v="1"/>
    <n v="20220012666"/>
    <s v="investice"/>
    <s v="Vyvážený  fond"/>
    <s v="nákup"/>
    <s v="P111"/>
    <n v="1000000"/>
    <x v="6"/>
    <x v="2"/>
    <d v="2024-04-01T00:00:00"/>
  </r>
  <r>
    <x v="1"/>
    <n v="20220012669"/>
    <s v="investice"/>
    <s v="Vyvážený  fond"/>
    <s v="nákup"/>
    <s v="P111"/>
    <n v="1000000"/>
    <x v="6"/>
    <x v="2"/>
    <d v="2024-04-01T00:00:00"/>
  </r>
  <r>
    <x v="1"/>
    <n v="20220012672"/>
    <s v="investice"/>
    <s v="Vyvážený  fond"/>
    <s v="nákup"/>
    <s v="P113"/>
    <n v="250000"/>
    <x v="4"/>
    <x v="2"/>
    <d v="2024-10-01T00:00:00"/>
  </r>
  <r>
    <x v="1"/>
    <n v="20220012675"/>
    <s v="investice"/>
    <s v="Vyvážený  fond"/>
    <s v="nákup"/>
    <s v="P088"/>
    <n v="250000"/>
    <x v="7"/>
    <x v="1"/>
    <d v="2025-06-01T00:00:00"/>
  </r>
  <r>
    <x v="1"/>
    <n v="20220012678"/>
    <s v="investice"/>
    <s v="Vyvážený  fond"/>
    <s v="nákup"/>
    <s v="P088"/>
    <n v="250000"/>
    <x v="7"/>
    <x v="1"/>
    <d v="2025-06-01T00:00:00"/>
  </r>
  <r>
    <x v="1"/>
    <n v="20220012681"/>
    <s v="investice"/>
    <s v="Vyvážený  fond"/>
    <s v="nákup"/>
    <s v="P088"/>
    <n v="1000000"/>
    <x v="7"/>
    <x v="1"/>
    <d v="2025-06-01T00:00:00"/>
  </r>
  <r>
    <x v="1"/>
    <n v="20220012684"/>
    <s v="investice"/>
    <s v="Vyvážený  fond"/>
    <s v="nákup"/>
    <s v="P088"/>
    <n v="100000"/>
    <x v="7"/>
    <x v="1"/>
    <d v="2025-06-01T00:00:00"/>
  </r>
  <r>
    <x v="1"/>
    <n v="20220012687"/>
    <s v="investice"/>
    <s v="Vyvážený  fond"/>
    <s v="nákup"/>
    <s v="P088"/>
    <n v="100000"/>
    <x v="7"/>
    <x v="1"/>
    <d v="2025-06-01T00:00:00"/>
  </r>
  <r>
    <x v="1"/>
    <n v="20220012690"/>
    <s v="investice"/>
    <s v="Vyvážený  fond"/>
    <s v="nákup"/>
    <s v="P037"/>
    <n v="100000"/>
    <x v="8"/>
    <x v="0"/>
    <d v="2023-02-01T00:00:00"/>
  </r>
  <r>
    <x v="1"/>
    <n v="20220012693"/>
    <s v="investice"/>
    <s v="Vyvážený  fond"/>
    <s v="nákup"/>
    <s v="P037"/>
    <n v="100000"/>
    <x v="8"/>
    <x v="0"/>
    <d v="2023-02-01T00:00:00"/>
  </r>
  <r>
    <x v="1"/>
    <n v="20220012696"/>
    <s v="investice"/>
    <s v="Vyvážený  fond"/>
    <s v="nákup"/>
    <s v="P037"/>
    <n v="1000000"/>
    <x v="8"/>
    <x v="0"/>
    <d v="2023-02-01T00:00:00"/>
  </r>
  <r>
    <x v="1"/>
    <n v="20220012699"/>
    <s v="investice"/>
    <s v="Vyvážený  fond"/>
    <s v="nákup"/>
    <s v="P020"/>
    <n v="200000"/>
    <x v="5"/>
    <x v="0"/>
    <d v="2023-02-01T00:00:00"/>
  </r>
  <r>
    <x v="1"/>
    <n v="20220012702"/>
    <s v="investice"/>
    <s v="Akciový fond"/>
    <s v="nákup"/>
    <s v="P002"/>
    <n v="750000"/>
    <x v="12"/>
    <x v="0"/>
    <d v="2025-09-01T00:00:00"/>
  </r>
  <r>
    <x v="6"/>
    <n v="20220012705"/>
    <s v="investice"/>
    <s v="Akciový fond"/>
    <s v="nákup"/>
    <s v="P007"/>
    <n v="250000"/>
    <x v="11"/>
    <x v="0"/>
    <d v="2025-06-01T00:00:00"/>
  </r>
  <r>
    <x v="6"/>
    <n v="20220012708"/>
    <s v="investice"/>
    <s v="Akciový fond"/>
    <s v="nákup"/>
    <s v="P102"/>
    <n v="250000"/>
    <x v="13"/>
    <x v="0"/>
    <d v="2024-04-01T00:00:00"/>
  </r>
  <r>
    <x v="6"/>
    <n v="20220012711"/>
    <s v="investice"/>
    <s v="Akciový fond"/>
    <s v="nákup"/>
    <s v="P063"/>
    <n v="100000"/>
    <x v="14"/>
    <x v="0"/>
    <d v="2023-02-01T00:00:00"/>
  </r>
  <r>
    <x v="6"/>
    <n v="20220012714"/>
    <s v="investice"/>
    <s v="Akciový fond"/>
    <s v="nákup"/>
    <s v="P023"/>
    <n v="1000000"/>
    <x v="0"/>
    <x v="0"/>
    <d v="2025-04-01T00:00:00"/>
  </r>
  <r>
    <x v="6"/>
    <n v="20220012717"/>
    <s v="investice"/>
    <s v="Vyvážený  fond"/>
    <s v="nákup"/>
    <s v="P072"/>
    <n v="600000"/>
    <x v="2"/>
    <x v="0"/>
    <d v="2024-04-01T00:00:00"/>
  </r>
  <r>
    <x v="6"/>
    <n v="20220012720"/>
    <s v="investice"/>
    <s v="Vyvážený  fond"/>
    <s v="nákup"/>
    <s v="P072"/>
    <n v="600000"/>
    <x v="2"/>
    <x v="0"/>
    <d v="2024-04-01T00:00:00"/>
  </r>
  <r>
    <x v="6"/>
    <n v="20220012723"/>
    <s v="investice"/>
    <s v="Akciový fond"/>
    <s v="nákup"/>
    <s v="P089"/>
    <n v="1000000"/>
    <x v="15"/>
    <x v="0"/>
    <d v="2025-04-01T00:00:00"/>
  </r>
  <r>
    <x v="6"/>
    <n v="20220012726"/>
    <s v="investice"/>
    <s v="Akciový fond"/>
    <s v="nákup"/>
    <s v="P089"/>
    <n v="300000"/>
    <x v="15"/>
    <x v="0"/>
    <d v="2025-04-01T00:00:00"/>
  </r>
  <r>
    <x v="6"/>
    <n v="20220012729"/>
    <s v="investice"/>
    <s v="Vyvážený  fond"/>
    <s v="nákup"/>
    <s v="P072"/>
    <n v="100000"/>
    <x v="2"/>
    <x v="0"/>
    <d v="2024-04-01T00:00:00"/>
  </r>
  <r>
    <x v="6"/>
    <n v="20220012732"/>
    <s v="investice"/>
    <s v="Akciový fond"/>
    <s v="nákup"/>
    <s v="P007"/>
    <n v="2000000"/>
    <x v="11"/>
    <x v="0"/>
    <d v="2025-06-01T00:00:00"/>
  </r>
  <r>
    <x v="6"/>
    <n v="20220012735"/>
    <s v="investice"/>
    <s v="Akciový fond"/>
    <s v="nákup"/>
    <s v="P037"/>
    <n v="100000"/>
    <x v="8"/>
    <x v="0"/>
    <d v="2023-02-01T00:00:00"/>
  </r>
  <r>
    <x v="6"/>
    <n v="20220012738"/>
    <s v="investice"/>
    <s v="Akciový fond"/>
    <s v="nákup"/>
    <s v="P031"/>
    <n v="300000"/>
    <x v="9"/>
    <x v="1"/>
    <d v="2023-02-01T00:00:00"/>
  </r>
  <r>
    <x v="7"/>
    <n v="20220012741"/>
    <s v="investice"/>
    <s v="Akciový fond"/>
    <s v="nákup"/>
    <s v="P113"/>
    <n v="1000000"/>
    <x v="4"/>
    <x v="2"/>
    <d v="2024-10-01T00:00:00"/>
  </r>
  <r>
    <x v="7"/>
    <n v="20220012744"/>
    <s v="investice"/>
    <s v="Akciový fond"/>
    <s v="nákup"/>
    <s v="P058"/>
    <n v="100000"/>
    <x v="16"/>
    <x v="0"/>
    <d v="2024-08-01T00:00:00"/>
  </r>
  <r>
    <x v="7"/>
    <n v="20220012747"/>
    <s v="investice"/>
    <s v="Vyvážený  fond"/>
    <s v="nákup"/>
    <s v="P063"/>
    <n v="500000"/>
    <x v="14"/>
    <x v="0"/>
    <d v="2023-02-01T00:00:00"/>
  </r>
  <r>
    <x v="7"/>
    <n v="20220012750"/>
    <s v="investice"/>
    <s v="Vyvážený  fond"/>
    <s v="nákup"/>
    <s v="P063"/>
    <n v="100000"/>
    <x v="14"/>
    <x v="0"/>
    <d v="2023-02-01T00:00:00"/>
  </r>
  <r>
    <x v="7"/>
    <n v="20220012753"/>
    <s v="investice"/>
    <s v="Akciový fond"/>
    <s v="nákup"/>
    <s v="P063"/>
    <n v="600000"/>
    <x v="14"/>
    <x v="0"/>
    <d v="2023-02-01T00:00:00"/>
  </r>
  <r>
    <x v="7"/>
    <n v="20220012756"/>
    <s v="investice"/>
    <s v="Akciový fond"/>
    <s v="nákup"/>
    <s v="P007"/>
    <n v="600000"/>
    <x v="11"/>
    <x v="0"/>
    <d v="2025-06-01T00:00:00"/>
  </r>
  <r>
    <x v="7"/>
    <n v="20220012759"/>
    <s v="investice"/>
    <s v="Akciový fond"/>
    <s v="nákup"/>
    <s v="P058"/>
    <n v="250000"/>
    <x v="16"/>
    <x v="0"/>
    <d v="2024-08-01T00:00:00"/>
  </r>
  <r>
    <x v="7"/>
    <n v="20220012762"/>
    <s v="investice"/>
    <s v="Akciový fond"/>
    <s v="nákup"/>
    <s v="P058"/>
    <n v="250000"/>
    <x v="16"/>
    <x v="0"/>
    <d v="2024-08-01T00:00:00"/>
  </r>
  <r>
    <x v="7"/>
    <n v="20220012765"/>
    <s v="investice"/>
    <s v="Vyvážený  fond"/>
    <s v="nákup"/>
    <s v="P002"/>
    <n v="100000"/>
    <x v="12"/>
    <x v="0"/>
    <d v="2025-09-01T00:00:00"/>
  </r>
  <r>
    <x v="7"/>
    <n v="20220012768"/>
    <s v="investice"/>
    <s v="Vyvážený  fond"/>
    <s v="nákup"/>
    <s v="P007"/>
    <n v="1000000"/>
    <x v="11"/>
    <x v="0"/>
    <d v="2025-06-01T00:00:00"/>
  </r>
  <r>
    <x v="7"/>
    <n v="20220012771"/>
    <s v="investice"/>
    <s v="Akciový fond"/>
    <s v="nákup"/>
    <s v="P127"/>
    <n v="350000"/>
    <x v="10"/>
    <x v="2"/>
    <d v="2024-10-01T00:00:00"/>
  </r>
  <r>
    <x v="7"/>
    <n v="20220012774"/>
    <s v="investice"/>
    <s v="Akciový fond"/>
    <s v="nákup"/>
    <s v="P089"/>
    <n v="1350000"/>
    <x v="15"/>
    <x v="0"/>
    <d v="2025-04-01T00:00:00"/>
  </r>
  <r>
    <x v="7"/>
    <n v="20220012777"/>
    <s v="investice"/>
    <s v="Konzervativní fond"/>
    <s v="nákup"/>
    <s v="P058"/>
    <n v="600000"/>
    <x v="16"/>
    <x v="0"/>
    <d v="2024-08-01T00:00:00"/>
  </r>
  <r>
    <x v="7"/>
    <n v="20220012780"/>
    <s v="investice"/>
    <s v="Konzervativní fond"/>
    <s v="nákup"/>
    <s v="P058"/>
    <n v="600000"/>
    <x v="16"/>
    <x v="0"/>
    <d v="2024-08-01T00:00:00"/>
  </r>
  <r>
    <x v="7"/>
    <n v="20220012783"/>
    <s v="investice"/>
    <s v="Vyvážený  fond"/>
    <s v="nákup"/>
    <s v="P072"/>
    <n v="1000000"/>
    <x v="2"/>
    <x v="0"/>
    <d v="2024-04-01T00:00:00"/>
  </r>
  <r>
    <x v="7"/>
    <n v="20220012786"/>
    <s v="investice"/>
    <s v="Vyvážený  fond"/>
    <s v="nákup"/>
    <s v="P072"/>
    <n v="100000"/>
    <x v="2"/>
    <x v="0"/>
    <d v="2024-04-01T00:00:00"/>
  </r>
  <r>
    <x v="7"/>
    <n v="20220012789"/>
    <s v="investice"/>
    <s v="Vyvážený  fond"/>
    <s v="nákup"/>
    <s v="P007"/>
    <n v="100000"/>
    <x v="11"/>
    <x v="0"/>
    <d v="2025-06-01T00:00:00"/>
  </r>
  <r>
    <x v="7"/>
    <n v="20220012792"/>
    <s v="investice"/>
    <s v="Vyvážený  fond"/>
    <s v="nákup"/>
    <s v="P002"/>
    <n v="1000000"/>
    <x v="12"/>
    <x v="0"/>
    <d v="2025-09-01T00:00:00"/>
  </r>
  <r>
    <x v="7"/>
    <n v="20220012801"/>
    <s v="investice"/>
    <s v="Vyvážený  fond"/>
    <s v="nákup"/>
    <s v="P007"/>
    <n v="100000"/>
    <x v="11"/>
    <x v="0"/>
    <d v="2025-06-01T00:00:00"/>
  </r>
  <r>
    <x v="7"/>
    <n v="20220012804"/>
    <s v="investice"/>
    <s v="Vyvážený  fond"/>
    <s v="nákup"/>
    <s v="P072"/>
    <n v="500000"/>
    <x v="2"/>
    <x v="0"/>
    <d v="2024-04-01T00:00:00"/>
  </r>
  <r>
    <x v="7"/>
    <n v="20220012813"/>
    <s v="investice"/>
    <s v="Akciový fond"/>
    <s v="nákup"/>
    <s v="P040"/>
    <n v="100000"/>
    <x v="17"/>
    <x v="1"/>
    <d v="2024-04-01T00:00:00"/>
  </r>
  <r>
    <x v="7"/>
    <n v="20220012816"/>
    <s v="investice"/>
    <s v="Akciový fond"/>
    <s v="nákup"/>
    <s v="P040"/>
    <n v="1000000"/>
    <x v="17"/>
    <x v="1"/>
    <d v="2024-04-01T00:00:00"/>
  </r>
  <r>
    <x v="7"/>
    <n v="20220012819"/>
    <s v="investice"/>
    <s v="Akciový fond"/>
    <s v="nákup"/>
    <s v="P040"/>
    <n v="1000000"/>
    <x v="17"/>
    <x v="1"/>
    <d v="2024-04-01T00:00:00"/>
  </r>
  <r>
    <x v="7"/>
    <n v="20220012822"/>
    <s v="investice"/>
    <s v="Akciový fond"/>
    <s v="nákup"/>
    <s v="P040"/>
    <n v="1000000"/>
    <x v="17"/>
    <x v="1"/>
    <d v="2024-04-01T00:00:00"/>
  </r>
  <r>
    <x v="7"/>
    <n v="20220012825"/>
    <s v="investice"/>
    <s v="Vyvážený  fond"/>
    <s v="nákup"/>
    <s v="P002"/>
    <n v="1000000"/>
    <x v="12"/>
    <x v="0"/>
    <d v="2025-09-01T00:00:00"/>
  </r>
  <r>
    <x v="7"/>
    <n v="20220012831"/>
    <s v="investice"/>
    <s v="Vyvážený  fond"/>
    <s v="nákup"/>
    <s v="P008"/>
    <n v="250000"/>
    <x v="18"/>
    <x v="1"/>
    <d v="2025-03-01T00:00:00"/>
  </r>
  <r>
    <x v="7"/>
    <n v="20220012834"/>
    <s v="investice"/>
    <s v="Vyvážený  fond"/>
    <s v="nákup"/>
    <s v="P008"/>
    <n v="250000"/>
    <x v="18"/>
    <x v="1"/>
    <d v="2025-03-01T00:00:00"/>
  </r>
  <r>
    <x v="7"/>
    <n v="20220012837"/>
    <s v="investice"/>
    <s v="Akciový fond"/>
    <s v="nákup"/>
    <s v="P081"/>
    <n v="1000000"/>
    <x v="19"/>
    <x v="1"/>
    <d v="2025-04-01T00:00:00"/>
  </r>
  <r>
    <x v="7"/>
    <n v="20220012840"/>
    <s v="investice"/>
    <s v="Akciový fond"/>
    <s v="nákup"/>
    <s v="P081"/>
    <n v="100000"/>
    <x v="19"/>
    <x v="1"/>
    <d v="2025-04-01T00:00:00"/>
  </r>
  <r>
    <x v="7"/>
    <n v="20220012843"/>
    <s v="investice"/>
    <s v="Konzervativní fond"/>
    <s v="nákup"/>
    <s v="P058"/>
    <n v="1250000"/>
    <x v="16"/>
    <x v="0"/>
    <d v="2024-08-01T00:00:00"/>
  </r>
  <r>
    <x v="7"/>
    <n v="20220012846"/>
    <s v="investice"/>
    <s v="Konzervativní fond"/>
    <s v="nákup"/>
    <s v="P058"/>
    <n v="250000"/>
    <x v="16"/>
    <x v="0"/>
    <d v="2024-08-01T00:00:00"/>
  </r>
  <r>
    <x v="7"/>
    <n v="20220012849"/>
    <s v="investice"/>
    <s v="Vyvážený  fond"/>
    <s v="nákup"/>
    <s v="P127"/>
    <n v="600000"/>
    <x v="10"/>
    <x v="2"/>
    <d v="2024-10-01T00:00:00"/>
  </r>
  <r>
    <x v="7"/>
    <n v="20220012852"/>
    <s v="investice"/>
    <s v="Vyvážený  fond"/>
    <s v="nákup"/>
    <s v="P040"/>
    <n v="600000"/>
    <x v="17"/>
    <x v="1"/>
    <d v="2024-04-01T00:00:00"/>
  </r>
  <r>
    <x v="7"/>
    <n v="20220012855"/>
    <s v="investice"/>
    <s v="Akciový fond"/>
    <s v="nákup"/>
    <s v="P040"/>
    <n v="1000000"/>
    <x v="17"/>
    <x v="1"/>
    <d v="2024-04-01T00:00:00"/>
  </r>
  <r>
    <x v="7"/>
    <n v="20220012858"/>
    <s v="investice"/>
    <s v="Akciový fond"/>
    <s v="nákup"/>
    <s v="P040"/>
    <n v="100000"/>
    <x v="17"/>
    <x v="1"/>
    <d v="2024-04-01T00:00:00"/>
  </r>
  <r>
    <x v="7"/>
    <n v="20220012861"/>
    <s v="investice"/>
    <s v="Akciový fond"/>
    <s v="nákup"/>
    <s v="P043"/>
    <n v="100000"/>
    <x v="20"/>
    <x v="2"/>
    <d v="2024-09-01T00:00:00"/>
  </r>
  <r>
    <x v="7"/>
    <n v="20220012864"/>
    <s v="investice"/>
    <s v="Akciový fond"/>
    <s v="nákup"/>
    <s v="P043"/>
    <n v="100000"/>
    <x v="20"/>
    <x v="2"/>
    <d v="2024-09-01T00:00:00"/>
  </r>
  <r>
    <x v="7"/>
    <n v="20220012873"/>
    <s v="investice"/>
    <s v="Akciový fond"/>
    <s v="nákup"/>
    <s v="P043"/>
    <n v="1000000"/>
    <x v="20"/>
    <x v="2"/>
    <d v="2024-09-01T00:00:00"/>
  </r>
  <r>
    <x v="7"/>
    <n v="20220012876"/>
    <s v="investice"/>
    <s v="Akciový fond"/>
    <s v="nákup"/>
    <s v="P043"/>
    <n v="100000"/>
    <x v="20"/>
    <x v="2"/>
    <d v="2024-09-01T00:00:00"/>
  </r>
  <r>
    <x v="7"/>
    <n v="20220012879"/>
    <s v="investice"/>
    <s v="Vyvážený  fond"/>
    <s v="nákup"/>
    <s v="P043"/>
    <n v="100000"/>
    <x v="20"/>
    <x v="2"/>
    <d v="2024-09-01T00:00:00"/>
  </r>
  <r>
    <x v="7"/>
    <n v="20220012882"/>
    <s v="investice"/>
    <s v="Vyvážený  fond"/>
    <s v="nákup"/>
    <s v="P043"/>
    <n v="100000"/>
    <x v="20"/>
    <x v="2"/>
    <d v="2024-09-01T00:00:00"/>
  </r>
  <r>
    <x v="7"/>
    <n v="20220012885"/>
    <s v="investice"/>
    <s v="Konzervativní fond"/>
    <s v="nákup"/>
    <s v="P112"/>
    <n v="250000"/>
    <x v="21"/>
    <x v="2"/>
    <d v="2025-06-01T00:00:00"/>
  </r>
  <r>
    <x v="7"/>
    <n v="20220012888"/>
    <s v="investice"/>
    <s v="Konzervativní fond"/>
    <s v="nákup"/>
    <s v="P112"/>
    <n v="250000"/>
    <x v="21"/>
    <x v="2"/>
    <d v="2025-06-01T00:00:00"/>
  </r>
  <r>
    <x v="7"/>
    <n v="20220012891"/>
    <s v="investice"/>
    <s v="Vyvážený  fond"/>
    <s v="nákup"/>
    <s v="P058"/>
    <n v="1500000"/>
    <x v="16"/>
    <x v="0"/>
    <d v="2024-08-01T00:00:00"/>
  </r>
  <r>
    <x v="7"/>
    <n v="20220012894"/>
    <s v="investice"/>
    <s v="Vyvážený  fond"/>
    <s v="nákup"/>
    <s v="P058"/>
    <n v="100000"/>
    <x v="16"/>
    <x v="0"/>
    <d v="2024-08-01T00:00:00"/>
  </r>
  <r>
    <x v="7"/>
    <n v="20220012909"/>
    <s v="investice"/>
    <s v="Vyvážený  fond"/>
    <s v="nákup"/>
    <s v="P089"/>
    <n v="100000"/>
    <x v="15"/>
    <x v="0"/>
    <d v="2025-04-01T00:00:00"/>
  </r>
  <r>
    <x v="7"/>
    <n v="20220012912"/>
    <s v="investice"/>
    <s v="Vyvážený  fond"/>
    <s v="nákup"/>
    <s v="P089"/>
    <n v="1000000"/>
    <x v="15"/>
    <x v="0"/>
    <d v="2025-04-01T00:00:00"/>
  </r>
  <r>
    <x v="7"/>
    <n v="20220012921"/>
    <s v="investice"/>
    <s v="Akciový fond"/>
    <s v="nákup"/>
    <s v="P089"/>
    <n v="1000000"/>
    <x v="15"/>
    <x v="0"/>
    <d v="2025-04-01T00:00:00"/>
  </r>
  <r>
    <x v="7"/>
    <n v="20220012924"/>
    <s v="investice"/>
    <s v="Akciový fond"/>
    <s v="nákup"/>
    <s v="P089"/>
    <n v="1000000"/>
    <x v="15"/>
    <x v="0"/>
    <d v="2025-04-01T00:00:00"/>
  </r>
  <r>
    <x v="7"/>
    <n v="20220012927"/>
    <s v="investice"/>
    <s v="Akciový fond"/>
    <s v="nákup"/>
    <s v="P089"/>
    <n v="200000"/>
    <x v="15"/>
    <x v="0"/>
    <d v="2025-04-01T00:00:00"/>
  </r>
  <r>
    <x v="7"/>
    <n v="20220012930"/>
    <s v="investice"/>
    <s v="Akciový fond"/>
    <s v="nákup"/>
    <s v="P089"/>
    <n v="1000000"/>
    <x v="15"/>
    <x v="0"/>
    <d v="2025-04-01T00:00:00"/>
  </r>
  <r>
    <x v="7"/>
    <n v="20220012933"/>
    <s v="investice"/>
    <s v="Akciový fond"/>
    <s v="nákup"/>
    <s v="P089"/>
    <n v="100000"/>
    <x v="15"/>
    <x v="0"/>
    <d v="2025-04-01T00:00:00"/>
  </r>
  <r>
    <x v="7"/>
    <n v="20220012936"/>
    <s v="investice"/>
    <s v="Vyvážený  fond"/>
    <s v="nákup"/>
    <s v="P083"/>
    <n v="500000"/>
    <x v="22"/>
    <x v="1"/>
    <d v="2025-05-01T00:00:00"/>
  </r>
  <r>
    <x v="8"/>
    <n v="20220012945"/>
    <s v="investice"/>
    <s v="Vyvážený  fond"/>
    <s v="nákup"/>
    <s v="P035"/>
    <n v="100000"/>
    <x v="1"/>
    <x v="1"/>
    <d v="2023-02-01T00:00:00"/>
  </r>
  <r>
    <x v="8"/>
    <n v="20220012948"/>
    <s v="investice"/>
    <s v="Akciový fond"/>
    <s v="nákup"/>
    <s v="P113"/>
    <n v="300000"/>
    <x v="4"/>
    <x v="2"/>
    <d v="2024-10-01T00:00:00"/>
  </r>
  <r>
    <x v="9"/>
    <n v="20220012951"/>
    <s v="investice"/>
    <s v="Vyvážený  fond"/>
    <s v="nákup"/>
    <s v="P020"/>
    <n v="1000000"/>
    <x v="5"/>
    <x v="0"/>
    <d v="2023-02-01T00:00:00"/>
  </r>
  <r>
    <x v="9"/>
    <n v="20220012954"/>
    <s v="investice"/>
    <s v="Vyvážený  fond"/>
    <s v="nákup"/>
    <s v="P040"/>
    <n v="100000"/>
    <x v="17"/>
    <x v="1"/>
    <d v="2024-04-01T00:00:00"/>
  </r>
  <r>
    <x v="9"/>
    <n v="20220012960"/>
    <s v="investice"/>
    <s v="Konzervativní fond"/>
    <s v="nákup"/>
    <s v="P040"/>
    <n v="100000"/>
    <x v="17"/>
    <x v="1"/>
    <d v="2024-04-01T00:00:00"/>
  </r>
  <r>
    <x v="9"/>
    <n v="20220012963"/>
    <s v="investice"/>
    <s v="Vyvážený  fond"/>
    <s v="nákup"/>
    <s v="P073"/>
    <n v="600000"/>
    <x v="23"/>
    <x v="2"/>
    <d v="2023-02-01T00:00:00"/>
  </r>
  <r>
    <x v="9"/>
    <n v="20220012966"/>
    <s v="investice"/>
    <s v="Akciový fond"/>
    <s v="nákup"/>
    <s v="P040"/>
    <n v="600000"/>
    <x v="17"/>
    <x v="1"/>
    <d v="2024-04-01T00:00:00"/>
  </r>
  <r>
    <x v="9"/>
    <n v="20220012969"/>
    <s v="investice"/>
    <s v="Akciový fond"/>
    <s v="nákup"/>
    <s v="P073"/>
    <n v="200000"/>
    <x v="23"/>
    <x v="2"/>
    <d v="2023-02-01T00:00:00"/>
  </r>
  <r>
    <x v="9"/>
    <n v="20220012972"/>
    <s v="investice"/>
    <s v="Akciový fond"/>
    <s v="nákup"/>
    <s v="P073"/>
    <n v="1000000"/>
    <x v="23"/>
    <x v="2"/>
    <d v="2023-02-01T00:00:00"/>
  </r>
  <r>
    <x v="9"/>
    <n v="20220012975"/>
    <s v="investice"/>
    <s v="Vyvážený  fond"/>
    <s v="nákup"/>
    <s v="P040"/>
    <n v="100000"/>
    <x v="17"/>
    <x v="1"/>
    <d v="2024-04-01T00:00:00"/>
  </r>
  <r>
    <x v="9"/>
    <n v="20220012978"/>
    <s v="investice"/>
    <s v="Konzervativní fond"/>
    <s v="nákup"/>
    <s v="P073"/>
    <n v="600000"/>
    <x v="23"/>
    <x v="2"/>
    <d v="2023-02-01T00:00:00"/>
  </r>
  <r>
    <x v="9"/>
    <n v="20220012981"/>
    <s v="investice"/>
    <s v="Konzervativní fond"/>
    <s v="nákup"/>
    <s v="P043"/>
    <n v="100000"/>
    <x v="20"/>
    <x v="2"/>
    <d v="2024-09-01T00:00:00"/>
  </r>
  <r>
    <x v="9"/>
    <n v="20220012984"/>
    <s v="investice"/>
    <s v="Vyvážený  fond"/>
    <s v="nákup"/>
    <s v="P222"/>
    <n v="100000"/>
    <x v="24"/>
    <x v="2"/>
    <d v="2025-06-01T00:00:00"/>
  </r>
  <r>
    <x v="9"/>
    <n v="20220012990"/>
    <s v="investice"/>
    <s v="Vyvážený  fond"/>
    <s v="nákup"/>
    <s v="P073"/>
    <n v="1000000"/>
    <x v="23"/>
    <x v="2"/>
    <d v="2023-02-01T00:00:00"/>
  </r>
  <r>
    <x v="9"/>
    <n v="20220012993"/>
    <s v="investice"/>
    <s v="Vyvážený  fond"/>
    <s v="nákup"/>
    <s v="P088"/>
    <n v="100000"/>
    <x v="7"/>
    <x v="1"/>
    <d v="2025-06-01T00:00:00"/>
  </r>
  <r>
    <x v="9"/>
    <n v="20220012996"/>
    <s v="investice"/>
    <s v="Vyvážený  fond"/>
    <s v="nákup"/>
    <s v="P043"/>
    <n v="1000000"/>
    <x v="20"/>
    <x v="2"/>
    <d v="2024-09-01T00:00:00"/>
  </r>
  <r>
    <x v="9"/>
    <n v="20220012999"/>
    <s v="investice"/>
    <s v="Vyvážený  fond"/>
    <s v="nákup"/>
    <s v="P073"/>
    <n v="100000"/>
    <x v="23"/>
    <x v="2"/>
    <d v="2023-02-01T00:00:00"/>
  </r>
  <r>
    <x v="9"/>
    <n v="20220013002"/>
    <s v="investice"/>
    <s v="Konzervativní fond"/>
    <s v="nákup"/>
    <s v="P088"/>
    <n v="100000"/>
    <x v="7"/>
    <x v="1"/>
    <d v="2025-06-01T00:00:00"/>
  </r>
  <r>
    <x v="9"/>
    <n v="20220013005"/>
    <s v="investice"/>
    <s v="Vyvážený  fond"/>
    <s v="nákup"/>
    <s v="P043"/>
    <n v="100000"/>
    <x v="20"/>
    <x v="2"/>
    <d v="2024-09-01T00:00:00"/>
  </r>
  <r>
    <x v="9"/>
    <n v="20220013008"/>
    <s v="investice"/>
    <s v="Akciový fond"/>
    <s v="nákup"/>
    <s v="P073"/>
    <n v="100000"/>
    <x v="23"/>
    <x v="2"/>
    <d v="2023-02-01T00:00:00"/>
  </r>
  <r>
    <x v="9"/>
    <n v="20220013011"/>
    <s v="investice"/>
    <s v="Vyvážený  fond"/>
    <s v="nákup"/>
    <s v="P040"/>
    <n v="100000"/>
    <x v="17"/>
    <x v="1"/>
    <d v="2024-04-01T00:00:00"/>
  </r>
  <r>
    <x v="9"/>
    <n v="20220013014"/>
    <s v="investice"/>
    <s v="Akciový fond"/>
    <s v="nákup"/>
    <s v="P073"/>
    <n v="1000000"/>
    <x v="23"/>
    <x v="2"/>
    <d v="2023-02-01T00:00:00"/>
  </r>
  <r>
    <x v="9"/>
    <n v="20220013020"/>
    <s v="investice"/>
    <s v="Vyvážený  fond"/>
    <s v="nákup"/>
    <s v="P089"/>
    <n v="100000"/>
    <x v="15"/>
    <x v="0"/>
    <d v="2025-04-01T00:00:00"/>
  </r>
  <r>
    <x v="9"/>
    <n v="20220013023"/>
    <s v="investice"/>
    <s v="Akciový fond"/>
    <s v="nákup"/>
    <s v="P089"/>
    <n v="1000000"/>
    <x v="15"/>
    <x v="0"/>
    <d v="2025-04-01T00:00:00"/>
  </r>
  <r>
    <x v="9"/>
    <n v="20220013026"/>
    <s v="investice"/>
    <s v="Akciový fond"/>
    <s v="nákup"/>
    <s v="P089"/>
    <n v="750000"/>
    <x v="15"/>
    <x v="0"/>
    <d v="2025-04-01T00:00:00"/>
  </r>
  <r>
    <x v="9"/>
    <n v="20220013029"/>
    <s v="investice"/>
    <s v="Vyvážený  fond"/>
    <s v="nákup"/>
    <s v="P089"/>
    <n v="100000"/>
    <x v="15"/>
    <x v="0"/>
    <d v="2025-04-01T00:00:00"/>
  </r>
  <r>
    <x v="9"/>
    <n v="20220013032"/>
    <s v="investice"/>
    <s v="Konzervativní fond"/>
    <s v="nákup"/>
    <s v="P083"/>
    <n v="100000"/>
    <x v="22"/>
    <x v="1"/>
    <d v="2025-05-01T00:00:00"/>
  </r>
  <r>
    <x v="9"/>
    <n v="20220013035"/>
    <s v="investice"/>
    <s v="Konzervativní fond"/>
    <s v="nákup"/>
    <s v="P083"/>
    <n v="100000"/>
    <x v="22"/>
    <x v="1"/>
    <d v="2025-05-01T00:00:00"/>
  </r>
  <r>
    <x v="9"/>
    <n v="20220013038"/>
    <s v="investice"/>
    <s v="Akciový fond"/>
    <s v="nákup"/>
    <s v="P083"/>
    <n v="100000"/>
    <x v="22"/>
    <x v="1"/>
    <d v="2025-05-01T00:00:00"/>
  </r>
  <r>
    <x v="9"/>
    <n v="20220013041"/>
    <s v="investice"/>
    <s v="Akciový fond"/>
    <s v="nákup"/>
    <s v="P083"/>
    <n v="100000"/>
    <x v="22"/>
    <x v="1"/>
    <d v="2025-05-01T00:00:00"/>
  </r>
  <r>
    <x v="9"/>
    <n v="20220013044"/>
    <s v="investice"/>
    <s v="Vyvážený  fond"/>
    <s v="nákup"/>
    <s v="P031"/>
    <n v="1000000"/>
    <x v="9"/>
    <x v="1"/>
    <d v="2023-02-01T00:00:00"/>
  </r>
  <r>
    <x v="9"/>
    <n v="20220013047"/>
    <s v="investice"/>
    <s v="Akciový fond"/>
    <s v="nákup"/>
    <s v="P002"/>
    <n v="500000"/>
    <x v="12"/>
    <x v="0"/>
    <d v="2025-09-01T00:00:00"/>
  </r>
  <r>
    <x v="9"/>
    <n v="20220013050"/>
    <s v="investice"/>
    <s v="Akciový fond"/>
    <s v="nákup"/>
    <s v="P002"/>
    <n v="500000"/>
    <x v="12"/>
    <x v="0"/>
    <d v="2025-09-01T00:00:00"/>
  </r>
  <r>
    <x v="10"/>
    <n v="20220013053"/>
    <s v="investice"/>
    <s v="Vyvážený  fond"/>
    <s v="nákup"/>
    <s v="P043"/>
    <n v="750000"/>
    <x v="20"/>
    <x v="2"/>
    <d v="2024-09-01T00:00:00"/>
  </r>
  <r>
    <x v="10"/>
    <n v="20220013056"/>
    <s v="investice"/>
    <s v="Vyvážený  fond"/>
    <s v="nákup"/>
    <s v="P043"/>
    <n v="1750000"/>
    <x v="20"/>
    <x v="2"/>
    <d v="2024-09-01T00:00:00"/>
  </r>
  <r>
    <x v="10"/>
    <n v="20220013059"/>
    <s v="investice"/>
    <s v="Konzervativní fond"/>
    <s v="nákup"/>
    <s v="P043"/>
    <n v="750000"/>
    <x v="20"/>
    <x v="2"/>
    <d v="2024-09-01T00:00:00"/>
  </r>
  <r>
    <x v="10"/>
    <n v="20220013062"/>
    <s v="investice"/>
    <s v="Konzervativní fond"/>
    <s v="nákup"/>
    <s v="P043"/>
    <n v="750000"/>
    <x v="20"/>
    <x v="2"/>
    <d v="2024-09-01T00:00:00"/>
  </r>
  <r>
    <x v="10"/>
    <n v="20220013065"/>
    <s v="investice"/>
    <s v="Konzervativní fond"/>
    <s v="nákup"/>
    <s v="P043"/>
    <n v="600000"/>
    <x v="20"/>
    <x v="2"/>
    <d v="2024-09-01T00:00:00"/>
  </r>
  <r>
    <x v="10"/>
    <n v="20220013068"/>
    <s v="investice"/>
    <s v="Vyvážený  fond"/>
    <s v="nákup"/>
    <s v="P043"/>
    <n v="100000"/>
    <x v="20"/>
    <x v="2"/>
    <d v="2024-09-01T00:00:00"/>
  </r>
  <r>
    <x v="10"/>
    <n v="20220013071"/>
    <s v="investice"/>
    <s v="Vyvážený  fond"/>
    <s v="nákup"/>
    <s v="P043"/>
    <n v="100000"/>
    <x v="20"/>
    <x v="2"/>
    <d v="2024-09-01T00:00:00"/>
  </r>
  <r>
    <x v="10"/>
    <n v="20220013074"/>
    <s v="investice"/>
    <s v="Konzervativní fond"/>
    <s v="nákup"/>
    <s v="P043"/>
    <n v="1000000"/>
    <x v="20"/>
    <x v="2"/>
    <d v="2024-09-01T00:00:00"/>
  </r>
  <r>
    <x v="10"/>
    <n v="20220013077"/>
    <s v="investice"/>
    <s v="Konzervativní fond"/>
    <s v="nákup"/>
    <s v="P081"/>
    <n v="100000"/>
    <x v="19"/>
    <x v="1"/>
    <d v="2025-04-01T00:00:00"/>
  </r>
  <r>
    <x v="10"/>
    <n v="20220013080"/>
    <s v="investice"/>
    <s v="Konzervativní fond"/>
    <s v="nákup"/>
    <s v="P081"/>
    <n v="100000"/>
    <x v="19"/>
    <x v="1"/>
    <d v="2025-04-01T00:00:00"/>
  </r>
  <r>
    <x v="10"/>
    <n v="20220013083"/>
    <s v="investice"/>
    <s v="Konzervativní fond"/>
    <s v="nákup"/>
    <s v="P043"/>
    <n v="750000"/>
    <x v="20"/>
    <x v="2"/>
    <d v="2024-09-01T00:00:00"/>
  </r>
  <r>
    <x v="10"/>
    <n v="20220013086"/>
    <s v="investice"/>
    <s v="Konzervativní fond"/>
    <s v="nákup"/>
    <s v="P043"/>
    <n v="750000"/>
    <x v="20"/>
    <x v="2"/>
    <d v="2024-09-01T00:00:00"/>
  </r>
  <r>
    <x v="10"/>
    <n v="20220013089"/>
    <s v="investice"/>
    <s v="Vyvážený  fond"/>
    <s v="nákup"/>
    <s v="P073"/>
    <n v="1000000"/>
    <x v="23"/>
    <x v="2"/>
    <d v="2023-02-01T00:00:00"/>
  </r>
  <r>
    <x v="10"/>
    <n v="20220013092"/>
    <s v="investice"/>
    <s v="Vyvážený  fond"/>
    <s v="nákup"/>
    <s v="P073"/>
    <n v="1000000"/>
    <x v="23"/>
    <x v="2"/>
    <d v="2023-02-01T00:00:00"/>
  </r>
  <r>
    <x v="10"/>
    <n v="20220013095"/>
    <s v="investice"/>
    <s v="Vyvážený  fond"/>
    <s v="nákup"/>
    <s v="P058"/>
    <n v="100000"/>
    <x v="16"/>
    <x v="0"/>
    <d v="2024-08-01T00:00:00"/>
  </r>
  <r>
    <x v="10"/>
    <n v="20220013098"/>
    <s v="investice"/>
    <s v="Vyvážený  fond"/>
    <s v="nákup"/>
    <s v="P073"/>
    <n v="750000"/>
    <x v="23"/>
    <x v="2"/>
    <d v="2023-02-01T00:00:00"/>
  </r>
  <r>
    <x v="10"/>
    <n v="20220013101"/>
    <s v="investice"/>
    <s v="Vyvážený  fond"/>
    <s v="nákup"/>
    <s v="P073"/>
    <n v="750000"/>
    <x v="23"/>
    <x v="2"/>
    <d v="2023-02-01T00:00:00"/>
  </r>
  <r>
    <x v="10"/>
    <n v="20220013104"/>
    <s v="investice"/>
    <s v="Konzervativní fond"/>
    <s v="nákup"/>
    <s v="P058"/>
    <n v="750000"/>
    <x v="16"/>
    <x v="0"/>
    <d v="2024-08-01T00:00:00"/>
  </r>
  <r>
    <x v="10"/>
    <n v="20220013107"/>
    <s v="investice"/>
    <s v="Konzervativní fond"/>
    <s v="nákup"/>
    <s v="P058"/>
    <n v="750000"/>
    <x v="16"/>
    <x v="0"/>
    <d v="2024-08-01T00:00:00"/>
  </r>
  <r>
    <x v="10"/>
    <n v="20220013110"/>
    <s v="investice"/>
    <s v="Vyvážený  fond"/>
    <s v="nákup"/>
    <s v="P043"/>
    <n v="100000"/>
    <x v="20"/>
    <x v="2"/>
    <d v="2024-09-01T00:00:00"/>
  </r>
  <r>
    <x v="10"/>
    <n v="20220013113"/>
    <s v="investice"/>
    <s v="Konzervativní fond"/>
    <s v="nákup"/>
    <s v="P089"/>
    <n v="100000"/>
    <x v="15"/>
    <x v="0"/>
    <d v="2025-04-01T00:00:00"/>
  </r>
  <r>
    <x v="10"/>
    <n v="20220013116"/>
    <s v="investice"/>
    <s v="Konzervativní fond"/>
    <s v="nákup"/>
    <s v="P089"/>
    <n v="100000"/>
    <x v="15"/>
    <x v="0"/>
    <d v="2025-04-01T00:00:00"/>
  </r>
  <r>
    <x v="10"/>
    <n v="20220013119"/>
    <s v="investice"/>
    <s v="Vyvážený  fond"/>
    <s v="nákup"/>
    <s v="P089"/>
    <n v="750000"/>
    <x v="15"/>
    <x v="0"/>
    <d v="2025-04-01T00:00:00"/>
  </r>
  <r>
    <x v="10"/>
    <n v="20220013122"/>
    <s v="investice"/>
    <s v="Vyvážený  fond"/>
    <s v="nákup"/>
    <s v="P083"/>
    <n v="750000"/>
    <x v="22"/>
    <x v="1"/>
    <d v="2025-05-01T00:00:00"/>
  </r>
  <r>
    <x v="10"/>
    <n v="20220013125"/>
    <s v="investice"/>
    <s v="Akciový fond"/>
    <s v="nákup"/>
    <s v="P020"/>
    <n v="300000"/>
    <x v="5"/>
    <x v="0"/>
    <d v="2023-02-01T00:00:00"/>
  </r>
  <r>
    <x v="10"/>
    <n v="20220013128"/>
    <s v="investice"/>
    <s v="Akciový fond"/>
    <s v="nákup"/>
    <s v="P037"/>
    <n v="500000"/>
    <x v="8"/>
    <x v="0"/>
    <d v="2023-02-01T00:00:00"/>
  </r>
  <r>
    <x v="11"/>
    <n v="20220013131"/>
    <s v="investice"/>
    <s v="Vyvážený  fond"/>
    <s v="nákup"/>
    <s v="P031"/>
    <n v="1000000"/>
    <x v="9"/>
    <x v="1"/>
    <d v="2023-02-01T00:00:00"/>
  </r>
  <r>
    <x v="11"/>
    <n v="20220013134"/>
    <s v="investice"/>
    <s v="Vyvážený  fond"/>
    <s v="nákup"/>
    <s v="P002"/>
    <n v="100000"/>
    <x v="12"/>
    <x v="0"/>
    <d v="2025-09-01T00:00:00"/>
  </r>
  <r>
    <x v="11"/>
    <n v="20220013137"/>
    <s v="investice"/>
    <s v="Vyvážený  fond"/>
    <s v="nákup"/>
    <s v="P020"/>
    <n v="1000000"/>
    <x v="5"/>
    <x v="0"/>
    <d v="2023-02-01T00:00:00"/>
  </r>
  <r>
    <x v="11"/>
    <n v="20220013140"/>
    <s v="investice"/>
    <s v="Vyvážený  fond"/>
    <s v="nákup"/>
    <s v="P020"/>
    <n v="800000"/>
    <x v="5"/>
    <x v="0"/>
    <d v="2023-02-01T00:00:00"/>
  </r>
  <r>
    <x v="11"/>
    <n v="20220013143"/>
    <s v="investice"/>
    <s v="Vyvážený  fond"/>
    <s v="nákup"/>
    <s v="P008"/>
    <n v="1000000"/>
    <x v="18"/>
    <x v="1"/>
    <d v="2025-03-01T00:00:00"/>
  </r>
  <r>
    <x v="11"/>
    <n v="20220013146"/>
    <s v="investice"/>
    <s v="Konzervativní fond"/>
    <s v="nákup"/>
    <s v="P037"/>
    <n v="100000"/>
    <x v="8"/>
    <x v="0"/>
    <d v="2023-02-01T00:00:00"/>
  </r>
  <r>
    <x v="11"/>
    <n v="20220013149"/>
    <s v="investice"/>
    <s v="Konzervativní fond"/>
    <s v="nákup"/>
    <s v="P043"/>
    <n v="100000"/>
    <x v="20"/>
    <x v="2"/>
    <d v="2024-09-01T00:00:00"/>
  </r>
  <r>
    <x v="11"/>
    <n v="20220013152"/>
    <s v="investice"/>
    <s v="Akciový fond"/>
    <s v="nákup"/>
    <s v="P222"/>
    <n v="3000000"/>
    <x v="24"/>
    <x v="2"/>
    <d v="2025-06-01T00:00:00"/>
  </r>
  <r>
    <x v="11"/>
    <n v="20220013155"/>
    <s v="investice"/>
    <s v="Akciový fond"/>
    <s v="nákup"/>
    <s v="P007"/>
    <n v="100000"/>
    <x v="11"/>
    <x v="0"/>
    <d v="2025-06-01T00:00:00"/>
  </r>
  <r>
    <x v="11"/>
    <n v="20220013158"/>
    <s v="investice"/>
    <s v="Akciový fond"/>
    <s v="nákup"/>
    <s v="P008"/>
    <n v="100000"/>
    <x v="18"/>
    <x v="1"/>
    <d v="2025-03-01T00:00:00"/>
  </r>
  <r>
    <x v="11"/>
    <n v="20220013161"/>
    <s v="investice"/>
    <s v="Vyvážený  fond"/>
    <s v="nákup"/>
    <s v="P063"/>
    <n v="750000"/>
    <x v="14"/>
    <x v="0"/>
    <d v="2023-02-01T00:00:00"/>
  </r>
  <r>
    <x v="11"/>
    <n v="20220013164"/>
    <s v="investice"/>
    <s v="Vyvážený  fond"/>
    <s v="nákup"/>
    <s v="P043"/>
    <n v="1000000"/>
    <x v="20"/>
    <x v="2"/>
    <d v="2024-09-01T00:00:00"/>
  </r>
  <r>
    <x v="11"/>
    <n v="20220013167"/>
    <s v="investice"/>
    <s v="Vyvážený  fond"/>
    <s v="nákup"/>
    <s v="P222"/>
    <n v="1000000"/>
    <x v="24"/>
    <x v="2"/>
    <d v="2025-06-01T00:00:00"/>
  </r>
  <r>
    <x v="11"/>
    <n v="20220013170"/>
    <s v="investice"/>
    <s v="Vyvážený  fond"/>
    <s v="nákup"/>
    <s v="P002"/>
    <n v="100000"/>
    <x v="12"/>
    <x v="0"/>
    <d v="2025-09-01T00:00:00"/>
  </r>
  <r>
    <x v="11"/>
    <n v="20220013173"/>
    <s v="investice"/>
    <s v="Vyvážený  fond"/>
    <s v="nákup"/>
    <s v="P008"/>
    <n v="100000"/>
    <x v="18"/>
    <x v="1"/>
    <d v="2025-03-01T00:00:00"/>
  </r>
  <r>
    <x v="11"/>
    <n v="20220013176"/>
    <s v="investice"/>
    <s v="Konzervativní fond"/>
    <s v="nákup"/>
    <s v="P072"/>
    <n v="1000000"/>
    <x v="2"/>
    <x v="0"/>
    <d v="2024-04-01T00:00:00"/>
  </r>
  <r>
    <x v="11"/>
    <n v="20220013179"/>
    <s v="investice"/>
    <s v="Vyvážený  fond"/>
    <s v="nákup"/>
    <s v="P043"/>
    <n v="100000"/>
    <x v="20"/>
    <x v="2"/>
    <d v="2024-09-01T00:00:00"/>
  </r>
  <r>
    <x v="11"/>
    <n v="20220013182"/>
    <s v="investice"/>
    <s v="Vyvážený  fond"/>
    <s v="nákup"/>
    <s v="P222"/>
    <n v="750000"/>
    <x v="24"/>
    <x v="2"/>
    <d v="2025-06-01T00:00:00"/>
  </r>
  <r>
    <x v="11"/>
    <n v="20220013185"/>
    <s v="investice"/>
    <s v="Vyvážený  fond"/>
    <s v="nákup"/>
    <s v="P102"/>
    <n v="100000"/>
    <x v="13"/>
    <x v="0"/>
    <d v="2024-04-01T00:00:00"/>
  </r>
  <r>
    <x v="11"/>
    <n v="20220013188"/>
    <s v="investice"/>
    <s v="Konzervativní fond"/>
    <s v="nákup"/>
    <s v="P008"/>
    <n v="100000"/>
    <x v="18"/>
    <x v="1"/>
    <d v="2025-03-01T00:00:00"/>
  </r>
  <r>
    <x v="11"/>
    <n v="20220013191"/>
    <s v="investice"/>
    <s v="Vyvážený  fond"/>
    <s v="nákup"/>
    <s v="P081"/>
    <n v="100000"/>
    <x v="19"/>
    <x v="1"/>
    <d v="2025-04-01T00:00:00"/>
  </r>
  <r>
    <x v="11"/>
    <n v="20220013194"/>
    <s v="investice"/>
    <s v="Vyvážený  fond"/>
    <s v="nákup"/>
    <s v="P043"/>
    <n v="1000000"/>
    <x v="20"/>
    <x v="2"/>
    <d v="2024-09-01T00:00:00"/>
  </r>
  <r>
    <x v="11"/>
    <n v="20220013197"/>
    <s v="investice"/>
    <s v="Vyvážený  fond"/>
    <s v="nákup"/>
    <s v="P222"/>
    <n v="600000"/>
    <x v="24"/>
    <x v="2"/>
    <d v="2025-06-01T00:00:00"/>
  </r>
  <r>
    <x v="11"/>
    <n v="20220013200"/>
    <s v="investice"/>
    <s v="Vyvážený  fond"/>
    <s v="nákup"/>
    <s v="P081"/>
    <n v="750000"/>
    <x v="19"/>
    <x v="1"/>
    <d v="2025-04-01T00:00:00"/>
  </r>
  <r>
    <x v="11"/>
    <n v="20220013203"/>
    <s v="investice"/>
    <s v="Vyvážený  fond"/>
    <s v="nákup"/>
    <s v="P008"/>
    <n v="1000000"/>
    <x v="18"/>
    <x v="1"/>
    <d v="2025-03-01T00:00:00"/>
  </r>
  <r>
    <x v="11"/>
    <n v="20220013206"/>
    <s v="investice"/>
    <s v="Vyvážený  fond"/>
    <s v="nákup"/>
    <s v="P040"/>
    <n v="100000"/>
    <x v="17"/>
    <x v="1"/>
    <d v="2024-04-01T00:00:00"/>
  </r>
  <r>
    <x v="11"/>
    <n v="20220013209"/>
    <s v="investice"/>
    <s v="Akciový fond"/>
    <s v="nákup"/>
    <s v="P043"/>
    <n v="2100000"/>
    <x v="20"/>
    <x v="2"/>
    <d v="2024-09-01T00:00:00"/>
  </r>
  <r>
    <x v="11"/>
    <n v="20220013212"/>
    <s v="investice"/>
    <s v="Akciový fond"/>
    <s v="nákup"/>
    <s v="P222"/>
    <n v="100000"/>
    <x v="24"/>
    <x v="2"/>
    <d v="2025-06-01T00:00:00"/>
  </r>
  <r>
    <x v="11"/>
    <n v="20220013215"/>
    <s v="investice"/>
    <s v="Konzervativní fond"/>
    <s v="nákup"/>
    <s v="P040"/>
    <n v="100000"/>
    <x v="17"/>
    <x v="1"/>
    <d v="2024-04-01T00:00:00"/>
  </r>
  <r>
    <x v="11"/>
    <n v="20220013218"/>
    <s v="investice"/>
    <s v="Konzervativní fond"/>
    <s v="nákup"/>
    <s v="P031"/>
    <n v="100000"/>
    <x v="9"/>
    <x v="1"/>
    <d v="2023-02-01T00:00:00"/>
  </r>
  <r>
    <x v="11"/>
    <n v="20220013221"/>
    <s v="investice"/>
    <s v="Konzervativní fond"/>
    <s v="nákup"/>
    <s v="P037"/>
    <n v="1000000"/>
    <x v="8"/>
    <x v="0"/>
    <d v="2023-02-01T00:00:00"/>
  </r>
  <r>
    <x v="11"/>
    <n v="20220013224"/>
    <s v="investice"/>
    <s v="Akciový fond"/>
    <s v="nákup"/>
    <s v="P008"/>
    <n v="100000"/>
    <x v="18"/>
    <x v="1"/>
    <d v="2025-03-01T00:00:00"/>
  </r>
  <r>
    <x v="11"/>
    <n v="20220013227"/>
    <s v="investice"/>
    <s v="Vyvážený  fond"/>
    <s v="nákup"/>
    <s v="P040"/>
    <n v="100000"/>
    <x v="17"/>
    <x v="1"/>
    <d v="2024-04-01T00:00:00"/>
  </r>
  <r>
    <x v="11"/>
    <n v="20220013230"/>
    <s v="investice"/>
    <s v="Akciový fond"/>
    <s v="nákup"/>
    <s v="P043"/>
    <n v="2000000"/>
    <x v="20"/>
    <x v="2"/>
    <d v="2024-09-01T00:00:00"/>
  </r>
  <r>
    <x v="11"/>
    <n v="20220013233"/>
    <s v="investice"/>
    <s v="Konzervativní fond"/>
    <s v="nákup"/>
    <s v="P222"/>
    <n v="100000"/>
    <x v="24"/>
    <x v="2"/>
    <d v="2025-06-01T00:00:00"/>
  </r>
  <r>
    <x v="11"/>
    <n v="20220013236"/>
    <s v="investice"/>
    <s v="Akciový fond"/>
    <s v="nákup"/>
    <s v="P040"/>
    <n v="100000"/>
    <x v="17"/>
    <x v="1"/>
    <d v="2024-04-01T00:00:00"/>
  </r>
  <r>
    <x v="11"/>
    <n v="20220013239"/>
    <s v="investice"/>
    <s v="Akciový fond"/>
    <s v="nákup"/>
    <s v="P058"/>
    <n v="100000"/>
    <x v="16"/>
    <x v="0"/>
    <d v="2024-08-01T00:00:00"/>
  </r>
  <r>
    <x v="11"/>
    <n v="20220013242"/>
    <s v="investice"/>
    <s v="Akciový fond"/>
    <s v="nákup"/>
    <s v="P040"/>
    <n v="750000"/>
    <x v="17"/>
    <x v="1"/>
    <d v="2024-04-01T00:00:00"/>
  </r>
  <r>
    <x v="11"/>
    <n v="20220013245"/>
    <s v="investice"/>
    <s v="Akciový fond"/>
    <s v="nákup"/>
    <s v="P089"/>
    <n v="1000000"/>
    <x v="15"/>
    <x v="0"/>
    <d v="2025-04-01T00:00:00"/>
  </r>
  <r>
    <x v="11"/>
    <n v="20220013248"/>
    <s v="investice"/>
    <s v="Akciový fond"/>
    <s v="nákup"/>
    <s v="P058"/>
    <n v="750000"/>
    <x v="16"/>
    <x v="0"/>
    <d v="2024-08-01T00:00:00"/>
  </r>
  <r>
    <x v="11"/>
    <n v="20220013251"/>
    <s v="investice"/>
    <s v="Akciový fond"/>
    <s v="nákup"/>
    <s v="P081"/>
    <n v="100000"/>
    <x v="19"/>
    <x v="1"/>
    <d v="2025-04-01T00:00:00"/>
  </r>
  <r>
    <x v="11"/>
    <n v="20220013254"/>
    <s v="investice"/>
    <s v="Akciový fond"/>
    <s v="nákup"/>
    <s v="P043"/>
    <n v="750000"/>
    <x v="20"/>
    <x v="2"/>
    <d v="2024-09-01T00:00:00"/>
  </r>
  <r>
    <x v="11"/>
    <n v="20220013257"/>
    <s v="investice"/>
    <s v="Akciový fond"/>
    <s v="nákup"/>
    <s v="P222"/>
    <n v="1000000"/>
    <x v="24"/>
    <x v="2"/>
    <d v="2025-06-01T00:00:00"/>
  </r>
  <r>
    <x v="11"/>
    <n v="20220013260"/>
    <s v="investice"/>
    <s v="Konzervativní fond"/>
    <s v="nákup"/>
    <s v="P222"/>
    <n v="100000"/>
    <x v="24"/>
    <x v="2"/>
    <d v="2025-06-01T00:00:00"/>
  </r>
  <r>
    <x v="11"/>
    <n v="20220013263"/>
    <s v="investice"/>
    <s v="Konzervativní fond"/>
    <s v="nákup"/>
    <s v="P040"/>
    <n v="100000"/>
    <x v="17"/>
    <x v="1"/>
    <d v="2024-04-01T00:00:00"/>
  </r>
  <r>
    <x v="11"/>
    <n v="20220013266"/>
    <s v="investice"/>
    <s v="Akciový fond"/>
    <s v="nákup"/>
    <s v="P058"/>
    <n v="100000"/>
    <x v="16"/>
    <x v="0"/>
    <d v="2024-08-01T00:00:00"/>
  </r>
  <r>
    <x v="11"/>
    <n v="20220013269"/>
    <s v="investice"/>
    <s v="Akciový fond"/>
    <s v="nákup"/>
    <s v="P040"/>
    <n v="1000000"/>
    <x v="17"/>
    <x v="1"/>
    <d v="2024-04-01T00:00:00"/>
  </r>
  <r>
    <x v="11"/>
    <n v="20220013272"/>
    <s v="investice"/>
    <s v="Akciový fond"/>
    <s v="nákup"/>
    <s v="P089"/>
    <n v="100000"/>
    <x v="15"/>
    <x v="0"/>
    <d v="2025-04-01T00:00:00"/>
  </r>
  <r>
    <x v="11"/>
    <n v="20220013275"/>
    <s v="investice"/>
    <s v="Akciový fond"/>
    <s v="nákup"/>
    <s v="P058"/>
    <n v="750000"/>
    <x v="16"/>
    <x v="0"/>
    <d v="2024-08-01T00:00:00"/>
  </r>
  <r>
    <x v="11"/>
    <n v="20220013278"/>
    <s v="investice"/>
    <s v="Akciový fond"/>
    <s v="nákup"/>
    <s v="P081"/>
    <n v="100000"/>
    <x v="19"/>
    <x v="1"/>
    <d v="2025-04-01T00:00:00"/>
  </r>
  <r>
    <x v="11"/>
    <n v="20220013281"/>
    <s v="investice"/>
    <s v="Konzervativní fond"/>
    <s v="nákup"/>
    <s v="P043"/>
    <n v="100000"/>
    <x v="20"/>
    <x v="2"/>
    <d v="2024-09-01T00:00:00"/>
  </r>
  <r>
    <x v="11"/>
    <n v="20220013284"/>
    <s v="investice"/>
    <s v="Konzervativní fond"/>
    <s v="nákup"/>
    <s v="P222"/>
    <n v="750000"/>
    <x v="24"/>
    <x v="2"/>
    <d v="2025-06-01T00:00:00"/>
  </r>
  <r>
    <x v="11"/>
    <n v="20220013287"/>
    <s v="investice"/>
    <s v="Konzervativní fond"/>
    <s v="nákup"/>
    <s v="P008"/>
    <n v="450000"/>
    <x v="18"/>
    <x v="1"/>
    <d v="2025-03-01T00:00:00"/>
  </r>
  <r>
    <x v="11"/>
    <n v="20220013290"/>
    <s v="investice"/>
    <s v="Akciový fond"/>
    <s v="nákup"/>
    <s v="P007"/>
    <n v="1000000"/>
    <x v="11"/>
    <x v="0"/>
    <d v="2025-06-01T00:00:00"/>
  </r>
  <r>
    <x v="11"/>
    <n v="20220013293"/>
    <s v="investice"/>
    <s v="Akciový fond"/>
    <s v="nákup"/>
    <s v="P043"/>
    <n v="100000"/>
    <x v="20"/>
    <x v="2"/>
    <d v="2024-09-01T00:00:00"/>
  </r>
  <r>
    <x v="11"/>
    <n v="20220013296"/>
    <s v="investice"/>
    <s v="Akciový fond"/>
    <s v="nákup"/>
    <s v="P222"/>
    <n v="100000"/>
    <x v="24"/>
    <x v="2"/>
    <d v="2025-06-01T00:00:00"/>
  </r>
  <r>
    <x v="11"/>
    <n v="20220013299"/>
    <s v="investice"/>
    <s v="Akciový fond"/>
    <s v="nákup"/>
    <s v="P063"/>
    <n v="750000"/>
    <x v="14"/>
    <x v="0"/>
    <d v="2023-02-01T00:00:00"/>
  </r>
  <r>
    <x v="11"/>
    <n v="20220013302"/>
    <s v="investice"/>
    <s v="Konzervativní fond"/>
    <s v="nákup"/>
    <s v="P089"/>
    <n v="100000"/>
    <x v="15"/>
    <x v="0"/>
    <d v="2025-04-01T00:00:00"/>
  </r>
  <r>
    <x v="11"/>
    <n v="20220013305"/>
    <s v="investice"/>
    <s v="Konzervativní fond"/>
    <s v="nákup"/>
    <s v="P089"/>
    <n v="750000"/>
    <x v="15"/>
    <x v="0"/>
    <d v="2025-04-01T00:00:00"/>
  </r>
  <r>
    <x v="11"/>
    <n v="20220013308"/>
    <s v="investice"/>
    <s v="Konzervativní fond"/>
    <s v="nákup"/>
    <s v="P089"/>
    <n v="100000"/>
    <x v="15"/>
    <x v="0"/>
    <d v="2025-04-01T00:00:00"/>
  </r>
  <r>
    <x v="11"/>
    <n v="20220013311"/>
    <s v="investice"/>
    <s v="Konzervativní fond"/>
    <s v="nákup"/>
    <s v="P089"/>
    <n v="750000"/>
    <x v="15"/>
    <x v="0"/>
    <d v="2025-04-01T00:00:00"/>
  </r>
  <r>
    <x v="11"/>
    <n v="20220013314"/>
    <s v="investice"/>
    <s v="Konzervativní fond"/>
    <s v="nákup"/>
    <s v="P002"/>
    <n v="750000"/>
    <x v="12"/>
    <x v="0"/>
    <d v="2025-09-01T00:00:00"/>
  </r>
  <r>
    <x v="11"/>
    <n v="20220013317"/>
    <s v="investice"/>
    <s v="Konzervativní fond"/>
    <s v="nákup"/>
    <s v="P089"/>
    <n v="1000000"/>
    <x v="15"/>
    <x v="0"/>
    <d v="2025-04-01T00:00:00"/>
  </r>
  <r>
    <x v="11"/>
    <n v="20220013320"/>
    <s v="investice"/>
    <s v="Konzervativní fond"/>
    <s v="nákup"/>
    <s v="P089"/>
    <n v="100000"/>
    <x v="15"/>
    <x v="0"/>
    <d v="2025-04-01T00:00:00"/>
  </r>
  <r>
    <x v="11"/>
    <n v="20220013323"/>
    <s v="investice"/>
    <s v="Konzervativní fond"/>
    <s v="nákup"/>
    <s v="P089"/>
    <n v="750000"/>
    <x v="15"/>
    <x v="0"/>
    <d v="2025-04-01T00:00:00"/>
  </r>
  <r>
    <x v="11"/>
    <n v="20220013326"/>
    <s v="investice"/>
    <s v="Konzervativní fond"/>
    <s v="nákup"/>
    <s v="P089"/>
    <n v="750000"/>
    <x v="15"/>
    <x v="0"/>
    <d v="2025-04-01T00:00:00"/>
  </r>
  <r>
    <x v="11"/>
    <n v="20220013329"/>
    <s v="investice"/>
    <s v="Konzervativní fond"/>
    <s v="nákup"/>
    <s v="P089"/>
    <n v="1000000"/>
    <x v="15"/>
    <x v="0"/>
    <d v="2025-04-01T00:00:00"/>
  </r>
  <r>
    <x v="11"/>
    <n v="20220013332"/>
    <s v="investice"/>
    <s v="Akciový fond"/>
    <s v="nákup"/>
    <s v="P089"/>
    <n v="1000000"/>
    <x v="15"/>
    <x v="0"/>
    <d v="2025-04-01T00:00:00"/>
  </r>
  <r>
    <x v="11"/>
    <n v="20220013335"/>
    <s v="investice"/>
    <s v="Konzervativní fond"/>
    <s v="nákup"/>
    <s v="P089"/>
    <n v="100000"/>
    <x v="15"/>
    <x v="0"/>
    <d v="2025-04-01T00:00:00"/>
  </r>
  <r>
    <x v="11"/>
    <n v="20220013338"/>
    <s v="investice"/>
    <s v="Akciový fond"/>
    <s v="nákup"/>
    <s v="P089"/>
    <n v="600000"/>
    <x v="15"/>
    <x v="0"/>
    <d v="2025-04-01T00:00:00"/>
  </r>
  <r>
    <x v="11"/>
    <n v="20220013341"/>
    <s v="investice"/>
    <s v="Akciový fond"/>
    <s v="nákup"/>
    <s v="P083"/>
    <n v="750000"/>
    <x v="22"/>
    <x v="1"/>
    <d v="2025-05-01T00:00:00"/>
  </r>
  <r>
    <x v="11"/>
    <n v="20220013344"/>
    <s v="investice"/>
    <s v="Konzervativní fond"/>
    <s v="nákup"/>
    <s v="P083"/>
    <n v="1000000"/>
    <x v="22"/>
    <x v="1"/>
    <d v="2025-05-01T00:00:00"/>
  </r>
  <r>
    <x v="11"/>
    <n v="20220013347"/>
    <s v="investice"/>
    <s v="Konzervativní fond"/>
    <s v="nákup"/>
    <s v="P083"/>
    <n v="100000"/>
    <x v="22"/>
    <x v="1"/>
    <d v="2025-05-01T00:00:00"/>
  </r>
  <r>
    <x v="11"/>
    <n v="20220013350"/>
    <s v="investice"/>
    <s v="Akciový fond"/>
    <s v="nákup"/>
    <s v="P083"/>
    <n v="750000"/>
    <x v="22"/>
    <x v="1"/>
    <d v="2025-05-01T00:00:00"/>
  </r>
  <r>
    <x v="11"/>
    <n v="20220013353"/>
    <s v="investice"/>
    <s v="Konzervativní fond"/>
    <s v="nákup"/>
    <s v="P083"/>
    <n v="1000000"/>
    <x v="22"/>
    <x v="1"/>
    <d v="2025-05-01T00:00:00"/>
  </r>
  <r>
    <x v="12"/>
    <n v="20220013356"/>
    <s v="investice"/>
    <s v="Akciový fond"/>
    <s v="nákup"/>
    <s v="P031"/>
    <n v="100000"/>
    <x v="9"/>
    <x v="1"/>
    <d v="2023-02-01T00:00:00"/>
  </r>
  <r>
    <x v="12"/>
    <n v="20220013359"/>
    <s v="investice"/>
    <s v="Akciový fond"/>
    <s v="nákup"/>
    <s v="P031"/>
    <n v="100000"/>
    <x v="9"/>
    <x v="1"/>
    <d v="2023-02-01T00:00:00"/>
  </r>
  <r>
    <x v="12"/>
    <n v="20220013362"/>
    <s v="investice"/>
    <s v="Akciový fond"/>
    <s v="nákup"/>
    <s v="P031"/>
    <n v="1000000"/>
    <x v="9"/>
    <x v="1"/>
    <d v="2023-02-01T00:00:00"/>
  </r>
  <r>
    <x v="12"/>
    <n v="20220013365"/>
    <s v="investice"/>
    <s v="Akciový fond"/>
    <s v="nákup"/>
    <s v="P089"/>
    <n v="750000"/>
    <x v="15"/>
    <x v="0"/>
    <d v="2025-04-01T00:00:00"/>
  </r>
  <r>
    <x v="12"/>
    <n v="20220013368"/>
    <s v="investice"/>
    <s v="Akciový fond"/>
    <s v="nákup"/>
    <s v="P083"/>
    <n v="750000"/>
    <x v="22"/>
    <x v="1"/>
    <d v="2025-05-01T00:00:00"/>
  </r>
  <r>
    <x v="13"/>
    <n v="20220013371"/>
    <s v="investice"/>
    <s v="Akciový fond"/>
    <s v="nákup"/>
    <s v="P063"/>
    <n v="100000"/>
    <x v="14"/>
    <x v="0"/>
    <d v="2023-02-01T00:00:00"/>
  </r>
  <r>
    <x v="13"/>
    <n v="20220013374"/>
    <s v="investice"/>
    <s v="Akciový fond"/>
    <s v="nákup"/>
    <s v="P043"/>
    <n v="1000000"/>
    <x v="20"/>
    <x v="2"/>
    <d v="2024-09-01T00:00:00"/>
  </r>
  <r>
    <x v="13"/>
    <n v="20220013377"/>
    <s v="investice"/>
    <s v="Akciový fond"/>
    <s v="nákup"/>
    <s v="P072"/>
    <n v="750000"/>
    <x v="2"/>
    <x v="0"/>
    <d v="2024-04-01T00:00:00"/>
  </r>
  <r>
    <x v="13"/>
    <n v="20220013380"/>
    <s v="investice"/>
    <s v="Akciový fond"/>
    <s v="nákup"/>
    <s v="P043"/>
    <n v="100000"/>
    <x v="20"/>
    <x v="2"/>
    <d v="2024-09-01T00:00:00"/>
  </r>
  <r>
    <x v="13"/>
    <n v="20220013383"/>
    <s v="investice"/>
    <s v="Konzervativní fond"/>
    <s v="nákup"/>
    <s v="P072"/>
    <n v="100000"/>
    <x v="2"/>
    <x v="0"/>
    <d v="2024-04-01T00:00:00"/>
  </r>
  <r>
    <x v="13"/>
    <n v="20220013386"/>
    <s v="investice"/>
    <s v="Akciový fond"/>
    <s v="nákup"/>
    <s v="P043"/>
    <n v="100000"/>
    <x v="20"/>
    <x v="2"/>
    <d v="2024-09-01T00:00:00"/>
  </r>
  <r>
    <x v="13"/>
    <n v="20220013389"/>
    <s v="investice"/>
    <s v="Akciový fond"/>
    <s v="nákup"/>
    <s v="P043"/>
    <n v="750000"/>
    <x v="20"/>
    <x v="2"/>
    <d v="2024-09-01T00:00:00"/>
  </r>
  <r>
    <x v="13"/>
    <n v="20220013392"/>
    <s v="investice"/>
    <s v="Akciový fond"/>
    <s v="nákup"/>
    <s v="P002"/>
    <n v="750000"/>
    <x v="12"/>
    <x v="0"/>
    <d v="2025-09-01T00:00:00"/>
  </r>
  <r>
    <x v="13"/>
    <n v="20220013395"/>
    <s v="investice"/>
    <s v="Akciový fond"/>
    <s v="nákup"/>
    <s v="P089"/>
    <n v="1000000"/>
    <x v="15"/>
    <x v="0"/>
    <d v="2025-04-01T00:00:00"/>
  </r>
  <r>
    <x v="13"/>
    <n v="20220013398"/>
    <s v="investice"/>
    <s v="Akciový fond"/>
    <s v="nákup"/>
    <s v="P089"/>
    <n v="750000"/>
    <x v="15"/>
    <x v="0"/>
    <d v="2025-04-01T00:00:00"/>
  </r>
  <r>
    <x v="13"/>
    <n v="20220013401"/>
    <s v="investice"/>
    <s v="Konzervativní fond"/>
    <s v="nákup"/>
    <s v="P083"/>
    <n v="750000"/>
    <x v="22"/>
    <x v="1"/>
    <d v="2025-05-01T00:00:00"/>
  </r>
  <r>
    <x v="14"/>
    <n v="20220013404"/>
    <s v="investice"/>
    <s v="Konzervativní fond"/>
    <s v="nákup"/>
    <s v="P043"/>
    <n v="1000000"/>
    <x v="20"/>
    <x v="2"/>
    <d v="2024-09-01T00:00:00"/>
  </r>
  <r>
    <x v="14"/>
    <n v="20220013407"/>
    <s v="investice"/>
    <s v="Konzervativní fond"/>
    <s v="nákup"/>
    <s v="P113"/>
    <n v="100000"/>
    <x v="4"/>
    <x v="2"/>
    <d v="2024-10-01T00:00:00"/>
  </r>
  <r>
    <x v="15"/>
    <n v="20220013410"/>
    <s v="investice"/>
    <s v="Akciový fond"/>
    <s v="nákup"/>
    <s v="P073"/>
    <n v="100000"/>
    <x v="23"/>
    <x v="2"/>
    <d v="2023-02-01T00:00:00"/>
  </r>
  <r>
    <x v="15"/>
    <n v="20220013413"/>
    <s v="investice"/>
    <s v="Akciový fond"/>
    <s v="nákup"/>
    <s v="P072"/>
    <n v="100000"/>
    <x v="2"/>
    <x v="0"/>
    <d v="2024-04-01T00:00:00"/>
  </r>
  <r>
    <x v="15"/>
    <n v="20220013416"/>
    <s v="investice"/>
    <s v="Konzervativní fond"/>
    <s v="nákup"/>
    <s v="P088"/>
    <n v="750000"/>
    <x v="7"/>
    <x v="1"/>
    <d v="2025-06-01T00:00:00"/>
  </r>
  <r>
    <x v="15"/>
    <n v="20220013419"/>
    <s v="investice"/>
    <s v="Konzervativní fond"/>
    <s v="nákup"/>
    <s v="P002"/>
    <n v="500000"/>
    <x v="12"/>
    <x v="0"/>
    <d v="2025-09-01T00:00:00"/>
  </r>
  <r>
    <x v="15"/>
    <n v="20220013422"/>
    <s v="investice"/>
    <s v="Akciový fond"/>
    <s v="nákup"/>
    <s v="P222"/>
    <n v="100000"/>
    <x v="24"/>
    <x v="2"/>
    <d v="2025-06-01T00:00:00"/>
  </r>
  <r>
    <x v="15"/>
    <n v="20220013425"/>
    <s v="investice"/>
    <s v="Akciový fond"/>
    <s v="nákup"/>
    <s v="P072"/>
    <n v="1000000"/>
    <x v="2"/>
    <x v="0"/>
    <d v="2024-04-01T00:00:00"/>
  </r>
  <r>
    <x v="15"/>
    <n v="20220013428"/>
    <s v="investice"/>
    <s v="Akciový fond"/>
    <s v="nákup"/>
    <s v="P073"/>
    <n v="750000"/>
    <x v="23"/>
    <x v="2"/>
    <d v="2023-02-01T00:00:00"/>
  </r>
  <r>
    <x v="15"/>
    <n v="20220013431"/>
    <s v="investice"/>
    <s v="Akciový fond"/>
    <s v="nákup"/>
    <s v="P073"/>
    <n v="750000"/>
    <x v="23"/>
    <x v="2"/>
    <d v="2023-02-01T00:00:00"/>
  </r>
  <r>
    <x v="15"/>
    <n v="20220013434"/>
    <s v="investice"/>
    <s v="Akciový fond"/>
    <s v="nákup"/>
    <s v="P007"/>
    <n v="350000"/>
    <x v="11"/>
    <x v="0"/>
    <d v="2025-06-01T00:00:00"/>
  </r>
  <r>
    <x v="15"/>
    <n v="20220013437"/>
    <s v="investice"/>
    <s v="Akciový fond"/>
    <s v="nákup"/>
    <s v="P088"/>
    <n v="1000000"/>
    <x v="7"/>
    <x v="1"/>
    <d v="2025-06-01T00:00:00"/>
  </r>
  <r>
    <x v="15"/>
    <n v="20220013440"/>
    <s v="investice"/>
    <s v="Akciový fond"/>
    <s v="nákup"/>
    <s v="P222"/>
    <n v="300000"/>
    <x v="24"/>
    <x v="2"/>
    <d v="2025-06-01T00:00:00"/>
  </r>
  <r>
    <x v="15"/>
    <n v="20220013443"/>
    <s v="investice"/>
    <s v="Konzervativní fond"/>
    <s v="nákup"/>
    <s v="P063"/>
    <n v="750000"/>
    <x v="14"/>
    <x v="0"/>
    <d v="2023-02-01T00:00:00"/>
  </r>
  <r>
    <x v="16"/>
    <n v="20220013446"/>
    <s v="investice"/>
    <s v="Vyvážený  fond"/>
    <s v="nákup"/>
    <s v="P058"/>
    <n v="100000"/>
    <x v="16"/>
    <x v="0"/>
    <d v="2024-08-01T00:00:00"/>
  </r>
  <r>
    <x v="16"/>
    <n v="20220013449"/>
    <s v="investice"/>
    <s v="Akciový fond"/>
    <s v="nákup"/>
    <s v="P002"/>
    <n v="750000"/>
    <x v="12"/>
    <x v="0"/>
    <d v="2025-09-01T00:00:00"/>
  </r>
  <r>
    <x v="16"/>
    <n v="20220013452"/>
    <s v="investice"/>
    <s v="Konzervativní fond"/>
    <s v="nákup"/>
    <s v="P072"/>
    <n v="100000"/>
    <x v="2"/>
    <x v="0"/>
    <d v="2024-04-01T00:00:00"/>
  </r>
  <r>
    <x v="16"/>
    <n v="20220013455"/>
    <s v="investice"/>
    <s v="Konzervativní fond"/>
    <s v="nákup"/>
    <s v="P002"/>
    <n v="100000"/>
    <x v="12"/>
    <x v="0"/>
    <d v="2025-09-01T00:00:00"/>
  </r>
  <r>
    <x v="16"/>
    <n v="20220013458"/>
    <s v="investice"/>
    <s v="Konzervativní fond"/>
    <s v="nákup"/>
    <s v="P102"/>
    <n v="750000"/>
    <x v="13"/>
    <x v="0"/>
    <d v="2024-04-01T00:00:00"/>
  </r>
  <r>
    <x v="16"/>
    <n v="20220013461"/>
    <s v="investice"/>
    <s v="Konzervativní fond"/>
    <s v="nákup"/>
    <s v="P072"/>
    <n v="100000"/>
    <x v="2"/>
    <x v="0"/>
    <d v="2024-04-01T00:00:00"/>
  </r>
  <r>
    <x v="17"/>
    <n v="20220013464"/>
    <s v="investice"/>
    <s v="Vyvážený  fond"/>
    <s v="nákup"/>
    <s v="P072"/>
    <n v="100000"/>
    <x v="2"/>
    <x v="0"/>
    <d v="2024-04-01T00:00:00"/>
  </r>
  <r>
    <x v="17"/>
    <n v="20220013467"/>
    <s v="investice"/>
    <s v="Konzervativní fond"/>
    <s v="nákup"/>
    <s v="P127"/>
    <n v="600000"/>
    <x v="10"/>
    <x v="2"/>
    <d v="2024-10-01T00:00:00"/>
  </r>
  <r>
    <x v="17"/>
    <n v="20220013470"/>
    <s v="investice"/>
    <s v="Akciový fond"/>
    <s v="nákup"/>
    <s v="P007"/>
    <n v="1000000"/>
    <x v="11"/>
    <x v="0"/>
    <d v="2025-06-01T00:00:00"/>
  </r>
  <r>
    <x v="17"/>
    <n v="20220013473"/>
    <s v="investice"/>
    <s v="Konzervativní fond"/>
    <s v="nákup"/>
    <s v="P058"/>
    <n v="100000"/>
    <x v="16"/>
    <x v="0"/>
    <d v="2024-08-01T00:00:00"/>
  </r>
  <r>
    <x v="17"/>
    <n v="20220013476"/>
    <s v="investice"/>
    <s v="Konzervativní fond"/>
    <s v="nákup"/>
    <s v="P058"/>
    <n v="100000"/>
    <x v="16"/>
    <x v="0"/>
    <d v="2024-08-01T00:00:00"/>
  </r>
  <r>
    <x v="17"/>
    <n v="20220013479"/>
    <s v="investice"/>
    <s v="Konzervativní fond"/>
    <s v="nákup"/>
    <s v="P072"/>
    <n v="100000"/>
    <x v="2"/>
    <x v="0"/>
    <d v="2024-04-01T00:00:00"/>
  </r>
  <r>
    <x v="17"/>
    <n v="20220013482"/>
    <s v="investice"/>
    <s v="Konzervativní fond"/>
    <s v="nákup"/>
    <s v="P072"/>
    <n v="750000"/>
    <x v="2"/>
    <x v="0"/>
    <d v="2024-04-01T00:00:00"/>
  </r>
  <r>
    <x v="17"/>
    <n v="20220013485"/>
    <s v="investice"/>
    <s v="Konzervativní fond"/>
    <s v="nákup"/>
    <s v="P111"/>
    <n v="100000"/>
    <x v="6"/>
    <x v="2"/>
    <d v="2024-04-01T00:00:00"/>
  </r>
  <r>
    <x v="17"/>
    <n v="20220013488"/>
    <s v="investice"/>
    <s v="Konzervativní fond"/>
    <s v="nákup"/>
    <s v="P111"/>
    <n v="100000"/>
    <x v="6"/>
    <x v="2"/>
    <d v="2024-04-01T00:00:00"/>
  </r>
  <r>
    <x v="17"/>
    <n v="20220013491"/>
    <s v="investice"/>
    <s v="Konzervativní fond"/>
    <s v="nákup"/>
    <s v="P127"/>
    <n v="1000000"/>
    <x v="10"/>
    <x v="2"/>
    <d v="2024-10-01T00:00:00"/>
  </r>
  <r>
    <x v="17"/>
    <n v="20220013494"/>
    <s v="investice"/>
    <s v="Konzervativní fond"/>
    <s v="nákup"/>
    <s v="P002"/>
    <n v="750000"/>
    <x v="12"/>
    <x v="0"/>
    <d v="2025-09-01T00:00:00"/>
  </r>
  <r>
    <x v="17"/>
    <n v="20220013497"/>
    <s v="investice"/>
    <s v="Konzervativní fond"/>
    <s v="nákup"/>
    <s v="P072"/>
    <n v="750000"/>
    <x v="2"/>
    <x v="0"/>
    <d v="2024-04-01T00:00:00"/>
  </r>
  <r>
    <x v="17"/>
    <n v="20220013500"/>
    <s v="investice"/>
    <s v="Konzervativní fond"/>
    <s v="nákup"/>
    <s v="P058"/>
    <n v="750000"/>
    <x v="16"/>
    <x v="0"/>
    <d v="2024-08-01T00:00:00"/>
  </r>
  <r>
    <x v="17"/>
    <n v="20220013503"/>
    <s v="investice"/>
    <s v="Konzervativní fond"/>
    <s v="nákup"/>
    <s v="P002"/>
    <n v="750000"/>
    <x v="12"/>
    <x v="0"/>
    <d v="2025-09-01T00:00:00"/>
  </r>
  <r>
    <x v="17"/>
    <n v="20220013506"/>
    <s v="investice"/>
    <s v="Konzervativní fond"/>
    <s v="nákup"/>
    <s v="P072"/>
    <n v="100000"/>
    <x v="2"/>
    <x v="0"/>
    <d v="2024-04-01T00:00:00"/>
  </r>
  <r>
    <x v="17"/>
    <n v="20220013509"/>
    <s v="investice"/>
    <s v="Konzervativní fond"/>
    <s v="nákup"/>
    <s v="P007"/>
    <n v="750000"/>
    <x v="11"/>
    <x v="0"/>
    <d v="2025-06-01T00:00:00"/>
  </r>
  <r>
    <x v="17"/>
    <n v="20220013512"/>
    <s v="investice"/>
    <s v="Konzervativní fond"/>
    <s v="nákup"/>
    <s v="P111"/>
    <n v="100000"/>
    <x v="6"/>
    <x v="2"/>
    <d v="2024-04-01T00:00:00"/>
  </r>
  <r>
    <x v="17"/>
    <n v="20220013515"/>
    <s v="investice"/>
    <s v="Konzervativní fond"/>
    <s v="nákup"/>
    <s v="P111"/>
    <n v="100000"/>
    <x v="6"/>
    <x v="2"/>
    <d v="2024-04-01T00:00:00"/>
  </r>
  <r>
    <x v="17"/>
    <n v="20220013518"/>
    <s v="investice"/>
    <s v="Akciový fond"/>
    <s v="nákup"/>
    <s v="P089"/>
    <n v="2000000"/>
    <x v="15"/>
    <x v="0"/>
    <d v="2025-04-01T00:00:00"/>
  </r>
  <r>
    <x v="18"/>
    <n v="20220013521"/>
    <s v="investice"/>
    <s v="Vyvážený  fond"/>
    <s v="nákup"/>
    <s v="P043"/>
    <n v="1000000"/>
    <x v="20"/>
    <x v="2"/>
    <d v="2024-09-01T00:00:00"/>
  </r>
  <r>
    <x v="18"/>
    <n v="20220013524"/>
    <s v="investice"/>
    <s v="Vyvážený  fond"/>
    <s v="nákup"/>
    <s v="P037"/>
    <n v="100000"/>
    <x v="8"/>
    <x v="0"/>
    <d v="2023-02-01T00:00:00"/>
  </r>
  <r>
    <x v="18"/>
    <n v="20220013527"/>
    <s v="investice"/>
    <s v="Vyvážený  fond"/>
    <s v="nákup"/>
    <s v="P037"/>
    <n v="750000"/>
    <x v="8"/>
    <x v="0"/>
    <d v="2023-02-01T00:00:00"/>
  </r>
  <r>
    <x v="18"/>
    <n v="20220013530"/>
    <s v="investice"/>
    <s v="Vyvážený  fond"/>
    <s v="nákup"/>
    <s v="P037"/>
    <n v="1000000"/>
    <x v="8"/>
    <x v="0"/>
    <d v="2023-02-01T00:00:00"/>
  </r>
  <r>
    <x v="19"/>
    <n v="20220013533"/>
    <s v="investice"/>
    <s v="Konzervativní fond"/>
    <s v="nákup"/>
    <s v="P089"/>
    <n v="1500000"/>
    <x v="15"/>
    <x v="0"/>
    <d v="2025-04-01T00:00:00"/>
  </r>
  <r>
    <x v="19"/>
    <n v="20220013536"/>
    <s v="investice"/>
    <s v="Akciový fond"/>
    <s v="nákup"/>
    <s v="P136"/>
    <n v="100000"/>
    <x v="25"/>
    <x v="1"/>
    <d v="2023-03-01T00:00:00"/>
  </r>
  <r>
    <x v="19"/>
    <n v="20220013539"/>
    <s v="investice"/>
    <s v="Akciový fond"/>
    <s v="nákup"/>
    <s v="P136"/>
    <n v="100000"/>
    <x v="25"/>
    <x v="1"/>
    <d v="2023-03-01T00:00:00"/>
  </r>
  <r>
    <x v="19"/>
    <n v="20220013542"/>
    <s v="investice"/>
    <s v="Akciový fond"/>
    <s v="nákup"/>
    <s v="P073"/>
    <n v="100000"/>
    <x v="23"/>
    <x v="2"/>
    <d v="2023-02-01T00:00:00"/>
  </r>
  <r>
    <x v="19"/>
    <n v="20220013545"/>
    <s v="investice"/>
    <s v="Akciový fond"/>
    <s v="nákup"/>
    <s v="P073"/>
    <n v="2000000"/>
    <x v="23"/>
    <x v="2"/>
    <d v="2023-02-01T00:00:00"/>
  </r>
  <r>
    <x v="19"/>
    <n v="20220013548"/>
    <s v="investice"/>
    <s v="Akciový fond"/>
    <s v="nákup"/>
    <s v="P136"/>
    <n v="1000000"/>
    <x v="25"/>
    <x v="1"/>
    <d v="2023-03-01T00:00:00"/>
  </r>
  <r>
    <x v="19"/>
    <n v="20220013551"/>
    <s v="investice"/>
    <s v="Akciový fond"/>
    <s v="nákup"/>
    <s v="P073"/>
    <n v="750000"/>
    <x v="23"/>
    <x v="2"/>
    <d v="2023-02-01T00:00:00"/>
  </r>
  <r>
    <x v="19"/>
    <n v="20220013554"/>
    <s v="investice"/>
    <s v="Akciový fond"/>
    <s v="nákup"/>
    <s v="P002"/>
    <n v="500000"/>
    <x v="12"/>
    <x v="0"/>
    <d v="2025-09-01T00:00:00"/>
  </r>
  <r>
    <x v="20"/>
    <n v="20220013557"/>
    <s v="investice"/>
    <s v="Akciový fond"/>
    <s v="nákup"/>
    <s v="P222"/>
    <n v="1000000"/>
    <x v="24"/>
    <x v="2"/>
    <d v="2025-06-01T00:00:00"/>
  </r>
  <r>
    <x v="20"/>
    <n v="20220013560"/>
    <s v="investice"/>
    <s v="Vyvážený  fond"/>
    <s v="nákup"/>
    <s v="P222"/>
    <n v="100000"/>
    <x v="24"/>
    <x v="2"/>
    <d v="2025-06-01T00:00:00"/>
  </r>
  <r>
    <x v="20"/>
    <n v="20220013563"/>
    <s v="investice"/>
    <s v="Vyvážený  fond"/>
    <s v="nákup"/>
    <s v="P222"/>
    <n v="100000"/>
    <x v="24"/>
    <x v="2"/>
    <d v="2025-06-01T00:00:00"/>
  </r>
  <r>
    <x v="21"/>
    <n v="20220013566"/>
    <s v="investice"/>
    <s v="Vyvážený  fond"/>
    <s v="nákup"/>
    <s v="P040"/>
    <n v="100000"/>
    <x v="17"/>
    <x v="1"/>
    <d v="2024-04-01T00:00:00"/>
  </r>
  <r>
    <x v="21"/>
    <n v="20220013569"/>
    <s v="investice"/>
    <s v="Vyvážený  fond"/>
    <s v="nákup"/>
    <s v="P040"/>
    <n v="1500000"/>
    <x v="17"/>
    <x v="1"/>
    <d v="2024-04-01T00:00:00"/>
  </r>
  <r>
    <x v="21"/>
    <n v="20220013572"/>
    <s v="investice"/>
    <s v="Vyvážený  fond"/>
    <s v="nákup"/>
    <s v="P040"/>
    <n v="100000"/>
    <x v="17"/>
    <x v="1"/>
    <d v="2024-04-01T00:00:00"/>
  </r>
  <r>
    <x v="21"/>
    <n v="20220013575"/>
    <s v="investice"/>
    <s v="Vyvážený  fond"/>
    <s v="nákup"/>
    <s v="P040"/>
    <n v="1250000"/>
    <x v="17"/>
    <x v="1"/>
    <d v="2024-04-01T00:00:00"/>
  </r>
  <r>
    <x v="21"/>
    <n v="20220013578"/>
    <s v="investice"/>
    <s v="Vyvážený  fond"/>
    <s v="nákup"/>
    <s v="P112"/>
    <n v="350000"/>
    <x v="21"/>
    <x v="2"/>
    <d v="2025-06-01T00:00:00"/>
  </r>
  <r>
    <x v="21"/>
    <n v="20220013581"/>
    <s v="investice"/>
    <s v="Akciový fond"/>
    <s v="nákup"/>
    <s v="P073"/>
    <n v="1000000"/>
    <x v="23"/>
    <x v="2"/>
    <d v="2023-02-01T00:00:00"/>
  </r>
  <r>
    <x v="21"/>
    <n v="20220013584"/>
    <s v="investice"/>
    <s v="Akciový fond"/>
    <s v="nákup"/>
    <s v="P040"/>
    <n v="100000"/>
    <x v="17"/>
    <x v="1"/>
    <d v="2024-04-01T00:00:00"/>
  </r>
  <r>
    <x v="21"/>
    <n v="20220013587"/>
    <s v="investice"/>
    <s v="Akciový fond"/>
    <s v="nákup"/>
    <s v="P040"/>
    <n v="100000"/>
    <x v="17"/>
    <x v="1"/>
    <d v="2024-04-01T00:00:00"/>
  </r>
  <r>
    <x v="21"/>
    <n v="20220013590"/>
    <s v="investice"/>
    <s v="Akciový fond"/>
    <s v="nákup"/>
    <s v="P040"/>
    <n v="750000"/>
    <x v="17"/>
    <x v="1"/>
    <d v="2024-04-01T00:00:00"/>
  </r>
  <r>
    <x v="21"/>
    <n v="20220013593"/>
    <s v="investice"/>
    <s v="Akciový fond"/>
    <s v="nákup"/>
    <s v="P040"/>
    <n v="750000"/>
    <x v="17"/>
    <x v="1"/>
    <d v="2024-04-01T00:00:00"/>
  </r>
  <r>
    <x v="21"/>
    <n v="20220013596"/>
    <s v="investice"/>
    <s v="Akciový fond"/>
    <s v="nákup"/>
    <s v="P112"/>
    <n v="1000000"/>
    <x v="21"/>
    <x v="2"/>
    <d v="2025-06-01T00:00:00"/>
  </r>
  <r>
    <x v="21"/>
    <n v="20220013599"/>
    <s v="investice"/>
    <s v="Akciový fond"/>
    <s v="nákup"/>
    <s v="P073"/>
    <n v="100000"/>
    <x v="23"/>
    <x v="2"/>
    <d v="2023-02-01T00:00:00"/>
  </r>
  <r>
    <x v="21"/>
    <n v="20220013602"/>
    <s v="investice"/>
    <s v="Akciový fond"/>
    <s v="nákup"/>
    <s v="P073"/>
    <n v="100000"/>
    <x v="23"/>
    <x v="2"/>
    <d v="2023-02-01T00:00:00"/>
  </r>
  <r>
    <x v="21"/>
    <n v="20220013605"/>
    <s v="investice"/>
    <s v="Konzervativní fond"/>
    <s v="nákup"/>
    <s v="P040"/>
    <n v="1000000"/>
    <x v="17"/>
    <x v="1"/>
    <d v="2024-04-01T00:00:00"/>
  </r>
  <r>
    <x v="21"/>
    <n v="20220013608"/>
    <s v="investice"/>
    <s v="Konzervativní fond"/>
    <s v="nákup"/>
    <s v="P040"/>
    <n v="250000"/>
    <x v="17"/>
    <x v="1"/>
    <d v="2024-04-01T00:00:00"/>
  </r>
  <r>
    <x v="21"/>
    <n v="20220013611"/>
    <s v="investice"/>
    <s v="Konzervativní fond"/>
    <s v="nákup"/>
    <s v="P112"/>
    <n v="1250000"/>
    <x v="21"/>
    <x v="2"/>
    <d v="2025-06-01T00:00:00"/>
  </r>
  <r>
    <x v="21"/>
    <n v="20220013614"/>
    <s v="investice"/>
    <s v="Konzervativní fond"/>
    <s v="nákup"/>
    <s v="P112"/>
    <n v="100000"/>
    <x v="21"/>
    <x v="2"/>
    <d v="2025-06-01T00:00:00"/>
  </r>
  <r>
    <x v="21"/>
    <n v="20220013617"/>
    <s v="investice"/>
    <s v="Akciový fond"/>
    <s v="nákup"/>
    <s v="P073"/>
    <n v="1000000"/>
    <x v="23"/>
    <x v="2"/>
    <d v="2023-02-01T00:00:00"/>
  </r>
  <r>
    <x v="21"/>
    <n v="20220013620"/>
    <s v="investice"/>
    <s v="Konzervativní fond"/>
    <s v="nákup"/>
    <s v="P081"/>
    <n v="100000"/>
    <x v="19"/>
    <x v="1"/>
    <d v="2025-04-01T00:00:00"/>
  </r>
  <r>
    <x v="21"/>
    <n v="20220013623"/>
    <s v="investice"/>
    <s v="Konzervativní fond"/>
    <s v="nákup"/>
    <s v="P081"/>
    <n v="800000"/>
    <x v="19"/>
    <x v="1"/>
    <d v="2025-04-01T00:00:00"/>
  </r>
  <r>
    <x v="21"/>
    <n v="20220013626"/>
    <s v="investice"/>
    <s v="Konzervativní fond"/>
    <s v="nákup"/>
    <s v="P081"/>
    <n v="600000"/>
    <x v="19"/>
    <x v="1"/>
    <d v="2025-04-01T00:00:00"/>
  </r>
  <r>
    <x v="22"/>
    <n v="20220013629"/>
    <s v="investice"/>
    <s v="Konzervativní fond"/>
    <s v="nákup"/>
    <s v="P102"/>
    <n v="100000"/>
    <x v="13"/>
    <x v="0"/>
    <d v="2024-04-01T00:00:00"/>
  </r>
  <r>
    <x v="22"/>
    <n v="20220013632"/>
    <s v="investice"/>
    <s v="Konzervativní fond"/>
    <s v="nákup"/>
    <s v="P072"/>
    <n v="100000"/>
    <x v="2"/>
    <x v="0"/>
    <d v="2024-04-01T00:00:00"/>
  </r>
  <r>
    <x v="22"/>
    <n v="20220013635"/>
    <s v="investice"/>
    <s v="Akciový fond"/>
    <s v="nákup"/>
    <s v="P112"/>
    <n v="1000000"/>
    <x v="21"/>
    <x v="2"/>
    <d v="2025-06-01T00:00:00"/>
  </r>
  <r>
    <x v="22"/>
    <n v="20220013638"/>
    <s v="investice"/>
    <s v="Konzervativní fond"/>
    <s v="nákup"/>
    <s v="P072"/>
    <n v="750000"/>
    <x v="2"/>
    <x v="0"/>
    <d v="2024-04-01T00:00:00"/>
  </r>
  <r>
    <x v="22"/>
    <n v="20220013641"/>
    <s v="investice"/>
    <s v="Konzervativní fond"/>
    <s v="nákup"/>
    <s v="P072"/>
    <n v="750000"/>
    <x v="2"/>
    <x v="0"/>
    <d v="2024-04-01T00:00:00"/>
  </r>
  <r>
    <x v="22"/>
    <n v="20220013644"/>
    <s v="investice"/>
    <s v="Konzervativní fond"/>
    <s v="nákup"/>
    <s v="P112"/>
    <n v="750000"/>
    <x v="21"/>
    <x v="2"/>
    <d v="2025-06-01T00:00:00"/>
  </r>
  <r>
    <x v="22"/>
    <n v="20220013647"/>
    <s v="investice"/>
    <s v="Akciový fond"/>
    <s v="nákup"/>
    <s v="P102"/>
    <n v="950000"/>
    <x v="13"/>
    <x v="0"/>
    <d v="2024-04-01T00:00:00"/>
  </r>
  <r>
    <x v="22"/>
    <n v="20220013650"/>
    <s v="investice"/>
    <s v="Akciový fond"/>
    <s v="nákup"/>
    <s v="P072"/>
    <n v="100000"/>
    <x v="2"/>
    <x v="0"/>
    <d v="2024-04-01T00:00:00"/>
  </r>
  <r>
    <x v="22"/>
    <n v="20220013653"/>
    <s v="investice"/>
    <s v="Konzervativní fond"/>
    <s v="nákup"/>
    <s v="P112"/>
    <n v="750000"/>
    <x v="21"/>
    <x v="2"/>
    <d v="2025-06-01T00:00:00"/>
  </r>
  <r>
    <x v="22"/>
    <n v="20220013656"/>
    <s v="investice"/>
    <s v="Konzervativní fond"/>
    <s v="nákup"/>
    <s v="P112"/>
    <n v="750000"/>
    <x v="21"/>
    <x v="2"/>
    <d v="2025-06-01T00:00:00"/>
  </r>
  <r>
    <x v="22"/>
    <n v="20220013659"/>
    <s v="investice"/>
    <s v="Konzervativní fond"/>
    <s v="nákup"/>
    <s v="P081"/>
    <n v="100000"/>
    <x v="19"/>
    <x v="1"/>
    <d v="2025-04-01T00:00:00"/>
  </r>
  <r>
    <x v="22"/>
    <n v="20220013662"/>
    <s v="investice"/>
    <s v="Konzervativní fond"/>
    <s v="nákup"/>
    <s v="P081"/>
    <n v="100000"/>
    <x v="19"/>
    <x v="1"/>
    <d v="2025-04-01T00:00:00"/>
  </r>
  <r>
    <x v="22"/>
    <n v="20220013665"/>
    <s v="investice"/>
    <s v="Konzervativní fond"/>
    <s v="nákup"/>
    <s v="P081"/>
    <n v="600000"/>
    <x v="19"/>
    <x v="1"/>
    <d v="2025-04-01T00:00:00"/>
  </r>
  <r>
    <x v="22"/>
    <n v="20220013668"/>
    <s v="investice"/>
    <s v="Konzervativní fond"/>
    <s v="nákup"/>
    <s v="P081"/>
    <n v="750000"/>
    <x v="19"/>
    <x v="1"/>
    <d v="2025-04-01T00:00:00"/>
  </r>
  <r>
    <x v="23"/>
    <n v="20220013671"/>
    <s v="investice"/>
    <s v="Akciový fond"/>
    <s v="nákup"/>
    <s v="P037"/>
    <n v="100000"/>
    <x v="8"/>
    <x v="0"/>
    <d v="2023-02-01T00:00:00"/>
  </r>
  <r>
    <x v="23"/>
    <n v="20220013674"/>
    <s v="investice"/>
    <s v="Akciový fond"/>
    <s v="nákup"/>
    <s v="P037"/>
    <n v="100000"/>
    <x v="8"/>
    <x v="0"/>
    <d v="2023-02-01T00:00:00"/>
  </r>
  <r>
    <x v="23"/>
    <n v="20220013677"/>
    <s v="investice"/>
    <s v="Konzervativní fond"/>
    <s v="nákup"/>
    <s v="P037"/>
    <n v="1500000"/>
    <x v="8"/>
    <x v="0"/>
    <d v="2023-02-01T00:00:00"/>
  </r>
  <r>
    <x v="23"/>
    <n v="20220013680"/>
    <s v="investice"/>
    <s v="Konzervativní fond"/>
    <s v="nákup"/>
    <s v="P037"/>
    <n v="100000"/>
    <x v="8"/>
    <x v="0"/>
    <d v="2023-02-01T00:00:00"/>
  </r>
  <r>
    <x v="23"/>
    <n v="20220013683"/>
    <s v="investice"/>
    <s v="Konzervativní fond"/>
    <s v="nákup"/>
    <s v="P037"/>
    <n v="100000"/>
    <x v="8"/>
    <x v="0"/>
    <d v="2023-02-01T00:00:00"/>
  </r>
  <r>
    <x v="23"/>
    <n v="20220013686"/>
    <s v="investice"/>
    <s v="Konzervativní fond"/>
    <s v="nákup"/>
    <s v="P081"/>
    <n v="1250000"/>
    <x v="19"/>
    <x v="1"/>
    <d v="2025-04-01T00:00:00"/>
  </r>
  <r>
    <x v="23"/>
    <n v="20220013689"/>
    <s v="investice"/>
    <s v="Konzervativní fond"/>
    <s v="nákup"/>
    <s v="P081"/>
    <n v="800000"/>
    <x v="19"/>
    <x v="1"/>
    <d v="2025-04-01T00:00:00"/>
  </r>
  <r>
    <x v="23"/>
    <n v="20220013692"/>
    <s v="investice"/>
    <s v="Akciový fond"/>
    <s v="nákup"/>
    <s v="P037"/>
    <n v="100000"/>
    <x v="8"/>
    <x v="0"/>
    <d v="2023-02-01T00:00:00"/>
  </r>
  <r>
    <x v="23"/>
    <n v="20220013695"/>
    <s v="investice"/>
    <s v="Akciový fond"/>
    <s v="nákup"/>
    <s v="P037"/>
    <n v="100000"/>
    <x v="8"/>
    <x v="0"/>
    <d v="2023-02-01T00:00:00"/>
  </r>
  <r>
    <x v="23"/>
    <n v="20220013698"/>
    <s v="investice"/>
    <s v="Konzervativní fond"/>
    <s v="nákup"/>
    <s v="P037"/>
    <n v="350000"/>
    <x v="8"/>
    <x v="0"/>
    <d v="2023-02-01T00:00:00"/>
  </r>
  <r>
    <x v="23"/>
    <n v="20220013701"/>
    <s v="investice"/>
    <s v="Konzervativní fond"/>
    <s v="nákup"/>
    <s v="P037"/>
    <n v="750000"/>
    <x v="8"/>
    <x v="0"/>
    <d v="2023-02-01T00:00:00"/>
  </r>
  <r>
    <x v="23"/>
    <n v="20220013704"/>
    <s v="investice"/>
    <s v="Akciový fond"/>
    <s v="nákup"/>
    <s v="P081"/>
    <n v="100000"/>
    <x v="19"/>
    <x v="1"/>
    <d v="2025-04-01T00:00:00"/>
  </r>
  <r>
    <x v="23"/>
    <n v="20220013707"/>
    <s v="investice"/>
    <s v="Akciový fond"/>
    <s v="nákup"/>
    <s v="P081"/>
    <n v="100000"/>
    <x v="19"/>
    <x v="1"/>
    <d v="2025-04-01T00:00:00"/>
  </r>
  <r>
    <x v="23"/>
    <n v="20220013710"/>
    <s v="investice"/>
    <s v="Akciový fond"/>
    <s v="nákup"/>
    <s v="P113"/>
    <n v="300000"/>
    <x v="4"/>
    <x v="2"/>
    <d v="2024-10-01T00:00:00"/>
  </r>
  <r>
    <x v="24"/>
    <n v="20220013713"/>
    <s v="investice"/>
    <s v="Konzervativní fond"/>
    <s v="nákup"/>
    <s v="P043"/>
    <n v="600000"/>
    <x v="20"/>
    <x v="2"/>
    <d v="2024-09-01T00:00:00"/>
  </r>
  <r>
    <x v="24"/>
    <n v="20220013716"/>
    <s v="investice"/>
    <s v="Konzervativní fond"/>
    <s v="nákup"/>
    <s v="P072"/>
    <n v="1250000"/>
    <x v="2"/>
    <x v="0"/>
    <d v="2024-04-01T00:00:00"/>
  </r>
  <r>
    <x v="24"/>
    <n v="20220013719"/>
    <s v="investice"/>
    <s v="Konzervativní fond"/>
    <s v="nákup"/>
    <s v="P072"/>
    <n v="100000"/>
    <x v="2"/>
    <x v="0"/>
    <d v="2024-04-01T00:00:00"/>
  </r>
  <r>
    <x v="24"/>
    <n v="20220013722"/>
    <s v="investice"/>
    <s v="Konzervativní fond"/>
    <s v="nákup"/>
    <s v="P089"/>
    <n v="2000000"/>
    <x v="15"/>
    <x v="0"/>
    <d v="2025-04-01T00:00:00"/>
  </r>
  <r>
    <x v="24"/>
    <n v="20220013725"/>
    <s v="investice"/>
    <s v="Akciový fond"/>
    <s v="nákup"/>
    <s v="P072"/>
    <n v="100000"/>
    <x v="2"/>
    <x v="0"/>
    <d v="2024-04-01T00:00:00"/>
  </r>
  <r>
    <x v="24"/>
    <n v="20220013728"/>
    <s v="investice"/>
    <s v="Akciový fond"/>
    <s v="nákup"/>
    <s v="P002"/>
    <n v="100000"/>
    <x v="12"/>
    <x v="0"/>
    <d v="2025-09-01T00:00:00"/>
  </r>
  <r>
    <x v="24"/>
    <n v="20220013731"/>
    <s v="investice"/>
    <s v="Konzervativní fond"/>
    <s v="nákup"/>
    <s v="P081"/>
    <n v="100000"/>
    <x v="19"/>
    <x v="1"/>
    <d v="2025-04-01T00:00:00"/>
  </r>
  <r>
    <x v="24"/>
    <n v="20220013734"/>
    <s v="investice"/>
    <s v="Konzervativní fond"/>
    <s v="nákup"/>
    <s v="P081"/>
    <n v="1250000"/>
    <x v="19"/>
    <x v="1"/>
    <d v="2025-04-01T00:00:00"/>
  </r>
  <r>
    <x v="24"/>
    <n v="20220013737"/>
    <s v="investice"/>
    <s v="Konzervativní fond"/>
    <s v="nákup"/>
    <s v="P072"/>
    <n v="750000"/>
    <x v="2"/>
    <x v="0"/>
    <d v="2024-04-01T00:00:00"/>
  </r>
  <r>
    <x v="24"/>
    <n v="20220013740"/>
    <s v="investice"/>
    <s v="Konzervativní fond"/>
    <s v="nákup"/>
    <s v="P072"/>
    <n v="750000"/>
    <x v="2"/>
    <x v="0"/>
    <d v="2024-04-01T00:00:00"/>
  </r>
  <r>
    <x v="24"/>
    <n v="20220013743"/>
    <s v="investice"/>
    <s v="Akciový fond"/>
    <s v="nákup"/>
    <s v="P102"/>
    <n v="250000"/>
    <x v="13"/>
    <x v="0"/>
    <d v="2024-04-01T00:00:00"/>
  </r>
  <r>
    <x v="24"/>
    <n v="20220013746"/>
    <s v="investice"/>
    <s v="Konzervativní fond"/>
    <s v="nákup"/>
    <s v="P072"/>
    <n v="1000000"/>
    <x v="2"/>
    <x v="0"/>
    <d v="2024-04-01T00:00:00"/>
  </r>
  <r>
    <x v="24"/>
    <n v="20220013749"/>
    <s v="investice"/>
    <s v="Konzervativní fond"/>
    <s v="nákup"/>
    <s v="P081"/>
    <n v="100000"/>
    <x v="19"/>
    <x v="1"/>
    <d v="2025-04-01T00:00:00"/>
  </r>
  <r>
    <x v="24"/>
    <n v="20220013752"/>
    <s v="investice"/>
    <s v="Konzervativní fond"/>
    <s v="nákup"/>
    <s v="P081"/>
    <n v="100000"/>
    <x v="19"/>
    <x v="1"/>
    <d v="2025-04-01T00:00:00"/>
  </r>
  <r>
    <x v="25"/>
    <n v="20220013755"/>
    <s v="investice"/>
    <s v="Konzervativní fond"/>
    <s v="nákup"/>
    <s v="P072"/>
    <n v="1200000"/>
    <x v="2"/>
    <x v="0"/>
    <d v="2024-04-01T00:00:00"/>
  </r>
  <r>
    <x v="25"/>
    <n v="20220013758"/>
    <s v="investice"/>
    <s v="Konzervativní fond"/>
    <s v="nákup"/>
    <s v="P072"/>
    <n v="100000"/>
    <x v="2"/>
    <x v="0"/>
    <d v="2024-04-01T00:00:00"/>
  </r>
  <r>
    <x v="25"/>
    <n v="20220013761"/>
    <s v="investice"/>
    <s v="Konzervativní fond"/>
    <s v="nákup"/>
    <s v="P136"/>
    <n v="100000"/>
    <x v="25"/>
    <x v="1"/>
    <d v="2023-03-01T00:00:00"/>
  </r>
  <r>
    <x v="25"/>
    <n v="20220013764"/>
    <s v="investice"/>
    <s v="Konzervativní fond"/>
    <s v="nákup"/>
    <s v="P136"/>
    <n v="100000"/>
    <x v="25"/>
    <x v="1"/>
    <d v="2023-03-01T00:00:00"/>
  </r>
  <r>
    <x v="25"/>
    <n v="20220013767"/>
    <s v="investice"/>
    <s v="Akciový fond"/>
    <s v="nákup"/>
    <s v="P222"/>
    <n v="800000"/>
    <x v="24"/>
    <x v="2"/>
    <d v="2025-06-01T00:00:00"/>
  </r>
  <r>
    <x v="25"/>
    <n v="20220013770"/>
    <s v="investice"/>
    <s v="Konzervativní fond"/>
    <s v="nákup"/>
    <s v="P002"/>
    <n v="1250000"/>
    <x v="12"/>
    <x v="0"/>
    <d v="2025-09-01T00:00:00"/>
  </r>
  <r>
    <x v="25"/>
    <n v="20220013773"/>
    <s v="investice"/>
    <s v="Konzervativní fond"/>
    <s v="nákup"/>
    <s v="P102"/>
    <n v="750000"/>
    <x v="13"/>
    <x v="0"/>
    <d v="2024-04-01T00:00:00"/>
  </r>
  <r>
    <x v="25"/>
    <n v="20220013776"/>
    <s v="investice"/>
    <s v="Konzervativní fond"/>
    <s v="nákup"/>
    <s v="P136"/>
    <n v="100000"/>
    <x v="25"/>
    <x v="1"/>
    <d v="2023-03-01T00:00:00"/>
  </r>
  <r>
    <x v="25"/>
    <n v="20220013779"/>
    <s v="investice"/>
    <s v="Konzervativní fond"/>
    <s v="nákup"/>
    <s v="P136"/>
    <n v="100000"/>
    <x v="25"/>
    <x v="1"/>
    <d v="2023-03-01T00:00:00"/>
  </r>
  <r>
    <x v="25"/>
    <n v="20220013782"/>
    <s v="investice"/>
    <s v="Konzervativní fond"/>
    <s v="nákup"/>
    <s v="P222"/>
    <n v="750000"/>
    <x v="24"/>
    <x v="2"/>
    <d v="2025-06-01T00:00:00"/>
  </r>
  <r>
    <x v="25"/>
    <n v="20220013785"/>
    <s v="investice"/>
    <s v="Konzervativní fond"/>
    <s v="nákup"/>
    <s v="P222"/>
    <n v="750000"/>
    <x v="24"/>
    <x v="2"/>
    <d v="2025-06-01T00:00:00"/>
  </r>
  <r>
    <x v="25"/>
    <n v="20220013788"/>
    <s v="investice"/>
    <s v="Akciový fond"/>
    <s v="nákup"/>
    <s v="P072"/>
    <n v="750000"/>
    <x v="2"/>
    <x v="0"/>
    <d v="2024-04-01T00:00:00"/>
  </r>
  <r>
    <x v="25"/>
    <n v="20220013791"/>
    <s v="investice"/>
    <s v="Konzervativní fond"/>
    <s v="nákup"/>
    <s v="P136"/>
    <n v="100000"/>
    <x v="25"/>
    <x v="1"/>
    <d v="2023-03-01T00:00:00"/>
  </r>
  <r>
    <x v="25"/>
    <n v="20220013794"/>
    <s v="investice"/>
    <s v="Konzervativní fond"/>
    <s v="nákup"/>
    <s v="P136"/>
    <n v="1250000"/>
    <x v="25"/>
    <x v="1"/>
    <d v="2023-03-01T00:00:00"/>
  </r>
  <r>
    <x v="25"/>
    <n v="20220013797"/>
    <s v="investice"/>
    <s v="Konzervativní fond"/>
    <s v="nákup"/>
    <s v="P222"/>
    <n v="100000"/>
    <x v="24"/>
    <x v="2"/>
    <d v="2025-06-01T00:00:00"/>
  </r>
  <r>
    <x v="25"/>
    <n v="20220013800"/>
    <s v="investice"/>
    <s v="Akciový fond"/>
    <s v="nákup"/>
    <s v="P081"/>
    <n v="1000000"/>
    <x v="19"/>
    <x v="1"/>
    <d v="2025-04-01T00:00:00"/>
  </r>
  <r>
    <x v="25"/>
    <n v="20220013803"/>
    <s v="investice"/>
    <s v="Konzervativní fond"/>
    <s v="nákup"/>
    <s v="P081"/>
    <n v="100000"/>
    <x v="19"/>
    <x v="1"/>
    <d v="2025-04-01T00:00:00"/>
  </r>
  <r>
    <x v="25"/>
    <n v="20220013806"/>
    <s v="investice"/>
    <s v="Konzervativní fond"/>
    <s v="nákup"/>
    <s v="P081"/>
    <n v="100000"/>
    <x v="19"/>
    <x v="1"/>
    <d v="2025-04-01T00:00:00"/>
  </r>
  <r>
    <x v="25"/>
    <n v="20220013809"/>
    <s v="investice"/>
    <s v="Konzervativní fond"/>
    <s v="nákup"/>
    <s v="P002"/>
    <n v="500000"/>
    <x v="12"/>
    <x v="0"/>
    <d v="2025-09-01T00:00:00"/>
  </r>
  <r>
    <x v="25"/>
    <n v="20220013812"/>
    <s v="investice"/>
    <s v="Akciový fond"/>
    <s v="nákup"/>
    <s v="P136"/>
    <n v="2000000"/>
    <x v="25"/>
    <x v="1"/>
    <d v="2023-03-01T00:00:00"/>
  </r>
  <r>
    <x v="25"/>
    <n v="20220013815"/>
    <s v="investice"/>
    <s v="Akciový fond"/>
    <s v="nákup"/>
    <s v="P222"/>
    <n v="150000"/>
    <x v="24"/>
    <x v="2"/>
    <d v="2025-06-01T00:00:00"/>
  </r>
  <r>
    <x v="26"/>
    <n v="20220013818"/>
    <s v="investice"/>
    <s v="Akciový fond"/>
    <s v="nákup"/>
    <s v="P040"/>
    <n v="1250000"/>
    <x v="17"/>
    <x v="1"/>
    <d v="2024-04-01T00:00:00"/>
  </r>
  <r>
    <x v="26"/>
    <n v="20220013821"/>
    <s v="investice"/>
    <s v="Akciový fond"/>
    <s v="nákup"/>
    <s v="P040"/>
    <n v="100000"/>
    <x v="17"/>
    <x v="1"/>
    <d v="2024-04-01T00:00:00"/>
  </r>
  <r>
    <x v="26"/>
    <n v="20220013824"/>
    <s v="investice"/>
    <s v="Akciový fond"/>
    <s v="nákup"/>
    <s v="P040"/>
    <n v="100000"/>
    <x v="17"/>
    <x v="1"/>
    <d v="2024-04-01T00:00:00"/>
  </r>
  <r>
    <x v="26"/>
    <n v="20220013827"/>
    <s v="investice"/>
    <s v="Akciový fond"/>
    <s v="nákup"/>
    <s v="P081"/>
    <n v="1250000"/>
    <x v="19"/>
    <x v="1"/>
    <d v="2025-04-01T00:00:00"/>
  </r>
  <r>
    <x v="27"/>
    <n v="20220013830"/>
    <s v="investice"/>
    <s v="Akciový fond"/>
    <s v="nákup"/>
    <s v="P043"/>
    <n v="750000"/>
    <x v="20"/>
    <x v="2"/>
    <d v="2024-09-01T00:00:00"/>
  </r>
  <r>
    <x v="27"/>
    <n v="20220013833"/>
    <s v="investice"/>
    <s v="Konzervativní fond"/>
    <s v="nákup"/>
    <s v="P043"/>
    <n v="1100000"/>
    <x v="20"/>
    <x v="2"/>
    <d v="2024-09-01T00:00:00"/>
  </r>
  <r>
    <x v="27"/>
    <n v="20220013836"/>
    <s v="investice"/>
    <s v="Konzervativní fond"/>
    <s v="nákup"/>
    <s v="P043"/>
    <n v="100000"/>
    <x v="20"/>
    <x v="2"/>
    <d v="2024-09-01T00:00:00"/>
  </r>
  <r>
    <x v="27"/>
    <n v="20220013839"/>
    <s v="investice"/>
    <s v="Akciový fond"/>
    <s v="nákup"/>
    <s v="P081"/>
    <n v="100000"/>
    <x v="19"/>
    <x v="1"/>
    <d v="2025-04-01T00:00:00"/>
  </r>
  <r>
    <x v="28"/>
    <n v="20220013842"/>
    <s v="investice"/>
    <s v="Konzervativní fond"/>
    <s v="nákup"/>
    <s v="P008"/>
    <n v="500000"/>
    <x v="18"/>
    <x v="1"/>
    <d v="2025-03-01T00:00:00"/>
  </r>
  <r>
    <x v="28"/>
    <n v="20220013845"/>
    <s v="investice"/>
    <s v="Konzervativní fond"/>
    <s v="nákup"/>
    <s v="P008"/>
    <n v="750000"/>
    <x v="18"/>
    <x v="1"/>
    <d v="2025-03-01T00:00:00"/>
  </r>
  <r>
    <x v="28"/>
    <n v="20220013848"/>
    <s v="investice"/>
    <s v="Akciový fond"/>
    <s v="nákup"/>
    <s v="P008"/>
    <n v="100000"/>
    <x v="18"/>
    <x v="1"/>
    <d v="2025-03-01T00:00:00"/>
  </r>
  <r>
    <x v="28"/>
    <n v="20220013851"/>
    <s v="investice"/>
    <s v="Konzervativní fond"/>
    <s v="nákup"/>
    <s v="P081"/>
    <n v="400000"/>
    <x v="19"/>
    <x v="1"/>
    <d v="2025-04-01T00:00:00"/>
  </r>
  <r>
    <x v="28"/>
    <n v="20220013854"/>
    <s v="investice"/>
    <s v="Akciový fond"/>
    <s v="nákup"/>
    <s v="P113"/>
    <n v="100000"/>
    <x v="4"/>
    <x v="2"/>
    <d v="2024-10-01T00:00:00"/>
  </r>
  <r>
    <x v="28"/>
    <n v="20220013857"/>
    <s v="investice"/>
    <s v="Akciový fond"/>
    <s v="nákup"/>
    <s v="P035"/>
    <n v="100000"/>
    <x v="1"/>
    <x v="1"/>
    <d v="2023-02-01T00:00:00"/>
  </r>
  <r>
    <x v="28"/>
    <n v="20220013860"/>
    <s v="investice"/>
    <s v="Akciový fond"/>
    <s v="nákup"/>
    <s v="P035"/>
    <n v="1500000"/>
    <x v="1"/>
    <x v="1"/>
    <d v="2023-02-01T00:00:00"/>
  </r>
  <r>
    <x v="28"/>
    <n v="20220013863"/>
    <s v="investice"/>
    <s v="Akciový fond"/>
    <s v="nákup"/>
    <s v="P113"/>
    <n v="100000"/>
    <x v="4"/>
    <x v="2"/>
    <d v="2024-10-01T00:00:00"/>
  </r>
  <r>
    <x v="28"/>
    <n v="20220013866"/>
    <s v="investice"/>
    <s v="Akciový fond"/>
    <s v="nákup"/>
    <s v="P113"/>
    <n v="100000"/>
    <x v="4"/>
    <x v="2"/>
    <d v="2024-10-01T00:00:00"/>
  </r>
  <r>
    <x v="29"/>
    <n v="20220013869"/>
    <s v="investice"/>
    <s v="Konzervativní fond"/>
    <s v="nákup"/>
    <s v="P222"/>
    <n v="350000"/>
    <x v="24"/>
    <x v="2"/>
    <d v="2025-06-01T00:00:00"/>
  </r>
  <r>
    <x v="29"/>
    <n v="20220013872"/>
    <s v="investice"/>
    <s v="Konzervativní fond"/>
    <s v="nákup"/>
    <s v="P222"/>
    <n v="1250000"/>
    <x v="24"/>
    <x v="2"/>
    <d v="2025-06-01T00:00:00"/>
  </r>
  <r>
    <x v="29"/>
    <n v="20220013875"/>
    <s v="investice"/>
    <s v="Konzervativní fond"/>
    <s v="nákup"/>
    <s v="P222"/>
    <n v="100000"/>
    <x v="24"/>
    <x v="2"/>
    <d v="2025-06-01T00:00:00"/>
  </r>
  <r>
    <x v="29"/>
    <n v="20220013878"/>
    <s v="investice"/>
    <s v="Konzervativní fond"/>
    <s v="nákup"/>
    <s v="P089"/>
    <n v="2000000"/>
    <x v="15"/>
    <x v="0"/>
    <d v="2025-04-01T00:00:00"/>
  </r>
  <r>
    <x v="29"/>
    <n v="20220013881"/>
    <s v="investice"/>
    <s v="Konzervativní fond"/>
    <s v="nákup"/>
    <s v="P072"/>
    <n v="1100000"/>
    <x v="2"/>
    <x v="0"/>
    <d v="2024-04-01T00:00:00"/>
  </r>
  <r>
    <x v="29"/>
    <n v="20220013884"/>
    <s v="investice"/>
    <s v="Akciový fond"/>
    <s v="nákup"/>
    <s v="P037"/>
    <n v="300000"/>
    <x v="8"/>
    <x v="0"/>
    <d v="2023-02-01T00:00:00"/>
  </r>
  <r>
    <x v="29"/>
    <n v="20220013887"/>
    <s v="investice"/>
    <s v="Konzervativní fond"/>
    <s v="nákup"/>
    <s v="P072"/>
    <n v="1000000"/>
    <x v="2"/>
    <x v="0"/>
    <d v="2024-04-01T00:00:00"/>
  </r>
  <r>
    <x v="29"/>
    <n v="20220013890"/>
    <s v="investice"/>
    <s v="Konzervativní fond"/>
    <s v="nákup"/>
    <s v="P081"/>
    <n v="750000"/>
    <x v="19"/>
    <x v="1"/>
    <d v="2025-04-01T00:00:00"/>
  </r>
  <r>
    <x v="30"/>
    <n v="20220013893"/>
    <s v="investice"/>
    <s v="Akciový fond"/>
    <s v="nákup"/>
    <s v="P112"/>
    <n v="350000"/>
    <x v="21"/>
    <x v="2"/>
    <d v="2025-06-01T00:00:00"/>
  </r>
  <r>
    <x v="30"/>
    <n v="20220013896"/>
    <s v="investice"/>
    <s v="Konzervativní fond"/>
    <s v="nákup"/>
    <s v="P112"/>
    <n v="100000"/>
    <x v="21"/>
    <x v="2"/>
    <d v="2025-06-01T00:00:00"/>
  </r>
  <r>
    <x v="30"/>
    <n v="20220013899"/>
    <s v="investice"/>
    <s v="Konzervativní fond"/>
    <s v="nákup"/>
    <s v="P112"/>
    <n v="100000"/>
    <x v="21"/>
    <x v="2"/>
    <d v="2025-06-01T00:00:00"/>
  </r>
  <r>
    <x v="30"/>
    <n v="20220013902"/>
    <s v="investice"/>
    <s v="Konzervativní fond"/>
    <s v="nákup"/>
    <s v="P112"/>
    <n v="100000"/>
    <x v="21"/>
    <x v="2"/>
    <d v="2025-06-01T00:00:00"/>
  </r>
  <r>
    <x v="30"/>
    <n v="20220013905"/>
    <s v="investice"/>
    <s v="Akciový fond"/>
    <s v="nákup"/>
    <s v="P111"/>
    <n v="1000000"/>
    <x v="6"/>
    <x v="2"/>
    <d v="2024-04-01T00:00:00"/>
  </r>
  <r>
    <x v="30"/>
    <n v="20220013908"/>
    <s v="investice"/>
    <s v="Konzervativní fond"/>
    <s v="nákup"/>
    <s v="P112"/>
    <n v="100000"/>
    <x v="21"/>
    <x v="2"/>
    <d v="2025-06-01T00:00:00"/>
  </r>
  <r>
    <x v="30"/>
    <n v="20220013911"/>
    <s v="investice"/>
    <s v="Konzervativní fond"/>
    <s v="nákup"/>
    <s v="P111"/>
    <n v="750000"/>
    <x v="6"/>
    <x v="2"/>
    <d v="2024-04-01T00:00:00"/>
  </r>
  <r>
    <x v="30"/>
    <n v="20220013914"/>
    <s v="investice"/>
    <s v="Konzervativní fond"/>
    <s v="nákup"/>
    <s v="P037"/>
    <n v="100000"/>
    <x v="8"/>
    <x v="0"/>
    <d v="2023-02-01T00:00:00"/>
  </r>
  <r>
    <x v="30"/>
    <n v="20220013917"/>
    <s v="investice"/>
    <s v="Konzervativní fond"/>
    <s v="nákup"/>
    <s v="P111"/>
    <n v="500000"/>
    <x v="6"/>
    <x v="2"/>
    <d v="2024-04-01T00:00:00"/>
  </r>
  <r>
    <x v="30"/>
    <n v="20220013920"/>
    <s v="investice"/>
    <s v="Akciový fond"/>
    <s v="nákup"/>
    <s v="P081"/>
    <n v="100000"/>
    <x v="19"/>
    <x v="1"/>
    <d v="2025-04-01T00:00:00"/>
  </r>
  <r>
    <x v="31"/>
    <n v="20220013923"/>
    <s v="investice"/>
    <s v="Konzervativní fond"/>
    <s v="nákup"/>
    <s v="P088"/>
    <n v="300000"/>
    <x v="7"/>
    <x v="1"/>
    <d v="2025-06-01T00:00:00"/>
  </r>
  <r>
    <x v="31"/>
    <n v="20220013926"/>
    <s v="investice"/>
    <s v="Konzervativní fond"/>
    <s v="nákup"/>
    <s v="P043"/>
    <n v="1200000"/>
    <x v="20"/>
    <x v="2"/>
    <d v="2024-09-01T00:00:00"/>
  </r>
  <r>
    <x v="31"/>
    <n v="20220013929"/>
    <s v="investice"/>
    <s v="Akciový fond"/>
    <s v="nákup"/>
    <s v="P088"/>
    <n v="300000"/>
    <x v="7"/>
    <x v="1"/>
    <d v="2025-06-01T00:00:00"/>
  </r>
  <r>
    <x v="31"/>
    <n v="20220013932"/>
    <s v="investice"/>
    <s v="Konzervativní fond"/>
    <s v="nákup"/>
    <s v="P043"/>
    <n v="750000"/>
    <x v="20"/>
    <x v="2"/>
    <d v="2024-09-01T00:00:00"/>
  </r>
  <r>
    <x v="31"/>
    <n v="20220013935"/>
    <s v="investice"/>
    <s v="Konzervativní fond"/>
    <s v="nákup"/>
    <s v="P088"/>
    <n v="500000"/>
    <x v="7"/>
    <x v="1"/>
    <d v="2025-06-01T00:00:00"/>
  </r>
  <r>
    <x v="31"/>
    <n v="20220013938"/>
    <s v="investice"/>
    <s v="Konzervativní fond"/>
    <s v="nákup"/>
    <s v="P043"/>
    <n v="1000000"/>
    <x v="20"/>
    <x v="2"/>
    <d v="2024-09-01T00:00:00"/>
  </r>
  <r>
    <x v="31"/>
    <n v="20220013941"/>
    <s v="investice"/>
    <s v="Akciový fond"/>
    <s v="nákup"/>
    <s v="P088"/>
    <n v="200000"/>
    <x v="7"/>
    <x v="1"/>
    <d v="2025-06-01T00:00:00"/>
  </r>
  <r>
    <x v="31"/>
    <n v="20220013944"/>
    <s v="investice"/>
    <s v="Konzervativní fond"/>
    <s v="nákup"/>
    <s v="P043"/>
    <n v="750000"/>
    <x v="20"/>
    <x v="2"/>
    <d v="2024-09-01T00:00:00"/>
  </r>
  <r>
    <x v="31"/>
    <n v="20220013947"/>
    <s v="investice"/>
    <s v="Konzervativní fond"/>
    <s v="nákup"/>
    <s v="P111"/>
    <n v="300000"/>
    <x v="6"/>
    <x v="2"/>
    <d v="2024-04-01T00:00:00"/>
  </r>
  <r>
    <x v="31"/>
    <n v="20220013950"/>
    <s v="investice"/>
    <s v="Konzervativní fond"/>
    <s v="nákup"/>
    <s v="P043"/>
    <n v="100000"/>
    <x v="20"/>
    <x v="2"/>
    <d v="2024-09-01T00:00:00"/>
  </r>
  <r>
    <x v="31"/>
    <n v="20220013956"/>
    <s v="investice"/>
    <s v="Konzervativní fond"/>
    <s v="nákup"/>
    <s v="P043"/>
    <n v="2200000"/>
    <x v="20"/>
    <x v="2"/>
    <d v="2024-09-01T00:00:00"/>
  </r>
  <r>
    <x v="31"/>
    <n v="20220013959"/>
    <s v="investice"/>
    <s v="Konzervativní fond"/>
    <s v="nákup"/>
    <s v="P111"/>
    <n v="500000"/>
    <x v="6"/>
    <x v="2"/>
    <d v="2024-04-01T00:00:00"/>
  </r>
  <r>
    <x v="31"/>
    <n v="20220013962"/>
    <s v="investice"/>
    <s v="Konzervativní fond"/>
    <s v="nákup"/>
    <s v="P043"/>
    <n v="100000"/>
    <x v="20"/>
    <x v="2"/>
    <d v="2024-09-01T00:00:00"/>
  </r>
  <r>
    <x v="31"/>
    <n v="20220013965"/>
    <s v="investice"/>
    <s v="Akciový fond"/>
    <s v="nákup"/>
    <s v="P111"/>
    <n v="100000"/>
    <x v="6"/>
    <x v="2"/>
    <d v="2024-04-01T00:00:00"/>
  </r>
  <r>
    <x v="31"/>
    <n v="20220013968"/>
    <s v="investice"/>
    <s v="Konzervativní fond"/>
    <s v="nákup"/>
    <s v="P040"/>
    <n v="300000"/>
    <x v="17"/>
    <x v="1"/>
    <d v="2024-04-01T00:00:00"/>
  </r>
  <r>
    <x v="31"/>
    <n v="20220013971"/>
    <s v="investice"/>
    <s v="Konzervativní fond"/>
    <s v="nákup"/>
    <s v="P111"/>
    <n v="750000"/>
    <x v="6"/>
    <x v="2"/>
    <d v="2024-04-01T00:00:00"/>
  </r>
  <r>
    <x v="31"/>
    <n v="20220013974"/>
    <s v="investice"/>
    <s v="Konzervativní fond"/>
    <s v="nákup"/>
    <s v="P043"/>
    <n v="1000000"/>
    <x v="20"/>
    <x v="2"/>
    <d v="2024-09-01T00:00:00"/>
  </r>
  <r>
    <x v="31"/>
    <n v="20220013977"/>
    <s v="investice"/>
    <s v="Akciový fond"/>
    <s v="nákup"/>
    <s v="P037"/>
    <n v="100000"/>
    <x v="8"/>
    <x v="0"/>
    <d v="2023-02-01T00:00:00"/>
  </r>
  <r>
    <x v="31"/>
    <n v="20220013980"/>
    <s v="investice"/>
    <s v="Akciový fond"/>
    <s v="nákup"/>
    <s v="P020"/>
    <n v="1300000"/>
    <x v="5"/>
    <x v="0"/>
    <d v="2023-02-01T00:00:00"/>
  </r>
  <r>
    <x v="31"/>
    <n v="20220013983"/>
    <s v="investice"/>
    <s v="Konzervativní fond"/>
    <s v="nákup"/>
    <s v="P113"/>
    <n v="100000"/>
    <x v="4"/>
    <x v="2"/>
    <d v="2024-10-01T00:00:00"/>
  </r>
  <r>
    <x v="32"/>
    <n v="20220013986"/>
    <s v="investice"/>
    <s v="Akciový fond"/>
    <s v="nákup"/>
    <s v="P113"/>
    <n v="1000000"/>
    <x v="4"/>
    <x v="2"/>
    <d v="2024-10-01T00:00:00"/>
  </r>
  <r>
    <x v="33"/>
    <n v="20220013989"/>
    <s v="investice"/>
    <s v="Akciový fond"/>
    <s v="nákup"/>
    <s v="P058"/>
    <n v="100000"/>
    <x v="16"/>
    <x v="0"/>
    <d v="2024-08-01T00:00:00"/>
  </r>
  <r>
    <x v="33"/>
    <n v="20220013992"/>
    <s v="investice"/>
    <s v="Konzervativní fond"/>
    <s v="nákup"/>
    <s v="P073"/>
    <n v="100000"/>
    <x v="23"/>
    <x v="2"/>
    <d v="2023-02-01T00:00:00"/>
  </r>
  <r>
    <x v="33"/>
    <n v="20220013995"/>
    <s v="investice"/>
    <s v="Konzervativní fond"/>
    <s v="nákup"/>
    <s v="P072"/>
    <n v="500000"/>
    <x v="2"/>
    <x v="0"/>
    <d v="2024-04-01T00:00:00"/>
  </r>
  <r>
    <x v="33"/>
    <n v="20220013998"/>
    <s v="investice"/>
    <s v="Konzervativní fond"/>
    <s v="nákup"/>
    <s v="P073"/>
    <n v="1300000"/>
    <x v="23"/>
    <x v="2"/>
    <d v="2023-02-01T00:00:00"/>
  </r>
  <r>
    <x v="33"/>
    <n v="20220014001"/>
    <s v="investice"/>
    <s v="Konzervativní fond"/>
    <s v="nákup"/>
    <s v="P102"/>
    <n v="300000"/>
    <x v="13"/>
    <x v="0"/>
    <d v="2024-04-01T00:00:00"/>
  </r>
  <r>
    <x v="33"/>
    <n v="20220014004"/>
    <s v="investice"/>
    <s v="Konzervativní fond"/>
    <s v="nákup"/>
    <s v="P073"/>
    <n v="750000"/>
    <x v="23"/>
    <x v="2"/>
    <d v="2023-02-01T00:00:00"/>
  </r>
  <r>
    <x v="33"/>
    <n v="20220014007"/>
    <s v="investice"/>
    <s v="Konzervativní fond"/>
    <s v="nákup"/>
    <s v="P073"/>
    <n v="100000"/>
    <x v="23"/>
    <x v="2"/>
    <d v="2023-02-01T00:00:00"/>
  </r>
  <r>
    <x v="33"/>
    <n v="20220014010"/>
    <s v="investice"/>
    <s v="Konzervativní fond"/>
    <s v="nákup"/>
    <s v="P073"/>
    <n v="300000"/>
    <x v="23"/>
    <x v="2"/>
    <d v="2023-02-01T00:00:00"/>
  </r>
  <r>
    <x v="33"/>
    <n v="20220014013"/>
    <s v="investice"/>
    <s v="Akciový fond"/>
    <s v="nákup"/>
    <s v="P073"/>
    <n v="300000"/>
    <x v="23"/>
    <x v="2"/>
    <d v="2023-02-01T00:00:00"/>
  </r>
  <r>
    <x v="33"/>
    <n v="20220014016"/>
    <s v="investice"/>
    <s v="Konzervativní fond"/>
    <s v="nákup"/>
    <s v="P073"/>
    <n v="100000"/>
    <x v="23"/>
    <x v="2"/>
    <d v="2023-02-01T00:00:00"/>
  </r>
  <r>
    <x v="33"/>
    <n v="20220014019"/>
    <s v="investice"/>
    <s v="Konzervativní fond"/>
    <s v="nákup"/>
    <s v="P073"/>
    <n v="1000000"/>
    <x v="23"/>
    <x v="2"/>
    <d v="2023-02-01T00:00:00"/>
  </r>
  <r>
    <x v="33"/>
    <n v="20220014022"/>
    <s v="investice"/>
    <s v="Akciový fond"/>
    <s v="nákup"/>
    <s v="P073"/>
    <n v="100000"/>
    <x v="23"/>
    <x v="2"/>
    <d v="2023-02-01T00:00:00"/>
  </r>
  <r>
    <x v="33"/>
    <n v="20220014025"/>
    <s v="investice"/>
    <s v="Akciový fond"/>
    <s v="nákup"/>
    <s v="P073"/>
    <n v="100000"/>
    <x v="23"/>
    <x v="2"/>
    <d v="2023-02-01T00:00:00"/>
  </r>
  <r>
    <x v="33"/>
    <n v="20220014028"/>
    <s v="investice"/>
    <s v="Konzervativní fond"/>
    <s v="nákup"/>
    <s v="P073"/>
    <n v="2000000"/>
    <x v="23"/>
    <x v="2"/>
    <d v="2023-02-01T00:00:00"/>
  </r>
  <r>
    <x v="33"/>
    <n v="20220014031"/>
    <s v="investice"/>
    <s v="Konzervativní fond"/>
    <s v="nákup"/>
    <s v="P073"/>
    <n v="2000000"/>
    <x v="23"/>
    <x v="2"/>
    <d v="2023-02-01T00:00:00"/>
  </r>
  <r>
    <x v="33"/>
    <n v="20220014034"/>
    <s v="investice"/>
    <s v="Konzervativní fond"/>
    <s v="nákup"/>
    <s v="P089"/>
    <n v="300000"/>
    <x v="15"/>
    <x v="0"/>
    <d v="2025-04-01T00:00:00"/>
  </r>
  <r>
    <x v="33"/>
    <n v="20220014037"/>
    <s v="investice"/>
    <s v="Konzervativní fond"/>
    <s v="nákup"/>
    <s v="P089"/>
    <n v="300000"/>
    <x v="15"/>
    <x v="0"/>
    <d v="2025-04-01T00:00:00"/>
  </r>
  <r>
    <x v="33"/>
    <n v="20220014040"/>
    <s v="investice"/>
    <s v="Konzervativní fond"/>
    <s v="nákup"/>
    <s v="P002"/>
    <n v="1000000"/>
    <x v="12"/>
    <x v="0"/>
    <d v="2025-09-01T00:00:00"/>
  </r>
  <r>
    <x v="34"/>
    <n v="20220014043"/>
    <s v="investice"/>
    <s v="Konzervativní fond"/>
    <s v="nákup"/>
    <s v="P102"/>
    <n v="450000"/>
    <x v="13"/>
    <x v="0"/>
    <d v="2024-04-01T00:00:00"/>
  </r>
  <r>
    <x v="34"/>
    <n v="20220014046"/>
    <s v="investice"/>
    <s v="Konzervativní fond"/>
    <s v="nákup"/>
    <s v="P111"/>
    <n v="350000"/>
    <x v="6"/>
    <x v="2"/>
    <d v="2024-04-01T00:00:00"/>
  </r>
  <r>
    <x v="34"/>
    <n v="20220014049"/>
    <s v="investice"/>
    <s v="Konzervativní fond"/>
    <s v="nákup"/>
    <s v="P111"/>
    <n v="350000"/>
    <x v="6"/>
    <x v="2"/>
    <d v="2024-04-01T00:00:00"/>
  </r>
  <r>
    <x v="34"/>
    <n v="20220014052"/>
    <s v="investice"/>
    <s v="Konzervativní fond"/>
    <s v="nákup"/>
    <s v="P111"/>
    <n v="350000"/>
    <x v="6"/>
    <x v="2"/>
    <d v="2024-04-01T00:00:00"/>
  </r>
  <r>
    <x v="34"/>
    <n v="20220014064"/>
    <s v="investice"/>
    <s v="Akciový fond"/>
    <s v="nákup"/>
    <s v="P111"/>
    <n v="600000"/>
    <x v="6"/>
    <x v="2"/>
    <d v="2024-04-01T00:00:00"/>
  </r>
  <r>
    <x v="34"/>
    <n v="20220014067"/>
    <s v="investice"/>
    <s v="Akciový fond"/>
    <s v="nákup"/>
    <s v="P111"/>
    <n v="600000"/>
    <x v="6"/>
    <x v="2"/>
    <d v="2024-04-01T00:00:00"/>
  </r>
  <r>
    <x v="34"/>
    <n v="20220014070"/>
    <s v="investice"/>
    <s v="Akciový fond"/>
    <s v="nákup"/>
    <s v="P111"/>
    <n v="600000"/>
    <x v="6"/>
    <x v="2"/>
    <d v="2024-04-01T00:00:00"/>
  </r>
  <r>
    <x v="35"/>
    <n v="20220014073"/>
    <s v="investice"/>
    <s v="Vyvážený  fond"/>
    <s v="nákup"/>
    <s v="P088"/>
    <n v="1000000"/>
    <x v="7"/>
    <x v="1"/>
    <d v="2025-06-01T00:00:00"/>
  </r>
  <r>
    <x v="35"/>
    <n v="20220014076"/>
    <s v="investice"/>
    <s v="Vyvážený  fond"/>
    <s v="nákup"/>
    <s v="P088"/>
    <n v="100000"/>
    <x v="7"/>
    <x v="1"/>
    <d v="2025-06-01T00:00:00"/>
  </r>
  <r>
    <x v="35"/>
    <n v="20220014079"/>
    <s v="investice"/>
    <s v="Vyvážený  fond"/>
    <s v="nákup"/>
    <s v="P088"/>
    <n v="1000000"/>
    <x v="7"/>
    <x v="1"/>
    <d v="2025-06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FD613-8D27-40FF-85C8-1BF97213EEAF}" name="Kontingenční tabulka1" cacheId="1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G5:H34" firstHeaderRow="1" firstDataRow="1" firstDataCol="1" rowPageCount="1" colPageCount="1"/>
  <pivotFields count="12">
    <pivotField numFmtId="22" showAll="0">
      <items count="37">
        <item x="0"/>
        <item x="2"/>
        <item x="4"/>
        <item x="3"/>
        <item x="5"/>
        <item x="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27">
        <item x="1"/>
        <item x="17"/>
        <item x="4"/>
        <item x="6"/>
        <item x="7"/>
        <item x="19"/>
        <item x="3"/>
        <item x="23"/>
        <item x="22"/>
        <item x="18"/>
        <item x="2"/>
        <item x="20"/>
        <item x="21"/>
        <item x="0"/>
        <item x="10"/>
        <item x="5"/>
        <item x="16"/>
        <item x="25"/>
        <item x="11"/>
        <item x="8"/>
        <item x="12"/>
        <item x="24"/>
        <item x="15"/>
        <item x="13"/>
        <item x="9"/>
        <item x="14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2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7"/>
  </rowFields>
  <rowItems count="29">
    <i>
      <x/>
    </i>
    <i r="1">
      <x/>
    </i>
    <i r="1">
      <x v="1"/>
    </i>
    <i r="1">
      <x v="4"/>
    </i>
    <i r="1">
      <x v="5"/>
    </i>
    <i r="1">
      <x v="8"/>
    </i>
    <i r="1">
      <x v="9"/>
    </i>
    <i r="1">
      <x v="17"/>
    </i>
    <i r="1">
      <x v="24"/>
    </i>
    <i>
      <x v="1"/>
    </i>
    <i r="1">
      <x v="2"/>
    </i>
    <i r="1">
      <x v="3"/>
    </i>
    <i r="1">
      <x v="7"/>
    </i>
    <i r="1">
      <x v="11"/>
    </i>
    <i r="1">
      <x v="12"/>
    </i>
    <i r="1">
      <x v="14"/>
    </i>
    <i r="1">
      <x v="21"/>
    </i>
    <i>
      <x v="2"/>
    </i>
    <i r="1">
      <x v="10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5"/>
    </i>
    <i t="grand">
      <x/>
    </i>
  </rowItems>
  <colItems count="1">
    <i/>
  </colItems>
  <pageFields count="1">
    <pageField fld="11" item="10" hier="-1"/>
  </pageFields>
  <dataFields count="1">
    <dataField name="Součet z výše invest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0894E75-1B15-4796-A522-B157153162A3}" autoFormatId="16" applyNumberFormats="0" applyBorderFormats="0" applyFontFormats="0" applyPatternFormats="0" applyAlignmentFormats="0" applyWidthHeightFormats="0">
  <queryTableRefresh nextId="11">
    <queryTableFields count="10">
      <queryTableField id="1" name="Datum" tableColumnId="1"/>
      <queryTableField id="2" name="ID prodeje" tableColumnId="2"/>
      <queryTableField id="3" name="Skupina produktů" tableColumnId="3"/>
      <queryTableField id="4" name="typ fondu" tableColumnId="4"/>
      <queryTableField id="5" name="typ" tableColumnId="5"/>
      <queryTableField id="6" name="ID prodejce" tableColumnId="6"/>
      <queryTableField id="7" name="výše investice" tableColumnId="7"/>
      <queryTableField id="8" name="Obchodník" tableColumnId="8"/>
      <queryTableField id="9" name="Region" tableColumnId="9"/>
      <queryTableField id="10" name="Nástup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6402EED-EB64-467F-92F8-C246ECD98C50}" autoFormatId="16" applyNumberFormats="0" applyBorderFormats="0" applyFontFormats="0" applyPatternFormats="0" applyAlignmentFormats="0" applyWidthHeightFormats="0">
  <queryTableRefresh nextId="5">
    <queryTableFields count="4">
      <queryTableField id="1" name="ID prodejce" tableColumnId="1"/>
      <queryTableField id="2" name="Obchodník" tableColumnId="2"/>
      <queryTableField id="3" name="Region" tableColumnId="3"/>
      <queryTableField id="4" name="Nástup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D8AD63-C063-4075-A6A8-98700D40191A}" autoFormatId="16" applyNumberFormats="0" applyBorderFormats="0" applyFontFormats="0" applyPatternFormats="0" applyAlignmentFormats="0" applyWidthHeightFormats="0">
  <queryTableRefresh nextId="12">
    <queryTableFields count="11">
      <queryTableField id="1" name="Datum" tableColumnId="1"/>
      <queryTableField id="2" name="ID prodeje" tableColumnId="2"/>
      <queryTableField id="3" name="Skupina produktů" tableColumnId="3"/>
      <queryTableField id="4" name="typ fondu" tableColumnId="4"/>
      <queryTableField id="5" name="typ" tableColumnId="5"/>
      <queryTableField id="6" name="ID prodejce" tableColumnId="6"/>
      <queryTableField id="7" name="výše investice" tableColumnId="7"/>
      <queryTableField id="8" name="ID prodejce.1" tableColumnId="8"/>
      <queryTableField id="9" name="Obchodník" tableColumnId="9"/>
      <queryTableField id="10" name="Region" tableColumnId="10"/>
      <queryTableField id="11" name="Nástup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64D1A1-BB7F-4327-BEB1-A1436FC007DE}" name="Sloučit1" displayName="Sloučit1" ref="A1:J470" tableType="queryTable" totalsRowShown="0">
  <autoFilter ref="A1:J470" xr:uid="{4164D1A1-BB7F-4327-BEB1-A1436FC007DE}"/>
  <tableColumns count="10">
    <tableColumn id="1" xr3:uid="{FF751922-5F8E-4214-BE6E-E6E77810EF9F}" uniqueName="1" name="Datum" queryTableFieldId="1" dataDxfId="18"/>
    <tableColumn id="2" xr3:uid="{3BCF2983-4B68-402A-A3EC-622F436B91AA}" uniqueName="2" name="ID prodeje" queryTableFieldId="2"/>
    <tableColumn id="3" xr3:uid="{21709906-6C9B-45D3-822C-76ACD3643D31}" uniqueName="3" name="Skupina produktů" queryTableFieldId="3" dataDxfId="17"/>
    <tableColumn id="4" xr3:uid="{E0291DF0-80B1-4503-98F4-956E803FB698}" uniqueName="4" name="typ fondu" queryTableFieldId="4" dataDxfId="16"/>
    <tableColumn id="5" xr3:uid="{D1D6FCDD-4A37-4A80-A3B2-1BAA5C4D9B2C}" uniqueName="5" name="typ" queryTableFieldId="5" dataDxfId="15"/>
    <tableColumn id="6" xr3:uid="{D138A5F2-1019-4B02-A1DA-A88E94781540}" uniqueName="6" name="ID prodejce" queryTableFieldId="6" dataDxfId="14"/>
    <tableColumn id="7" xr3:uid="{255A525F-01D3-4329-A434-49ACCBFE2C05}" uniqueName="7" name="výše investice" queryTableFieldId="7"/>
    <tableColumn id="8" xr3:uid="{2A9B5D8F-163D-405E-80C3-4FDC74C59C83}" uniqueName="8" name="Obchodník" queryTableFieldId="8" dataDxfId="13"/>
    <tableColumn id="9" xr3:uid="{5205260F-EE31-4C37-8AD0-93A4B6327369}" uniqueName="9" name="Region" queryTableFieldId="9" dataDxfId="12"/>
    <tableColumn id="10" xr3:uid="{BCE2C1E1-677B-4146-AC15-479B8E496AFF}" uniqueName="10" name="Nástup" queryTableFieldId="10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F0095F-CB30-415E-A6A8-18CB71F8C50C}" name="Tabulka3_1" displayName="Tabulka3_1" ref="A1:D33" tableType="queryTable" totalsRowShown="0">
  <autoFilter ref="A1:D33" xr:uid="{C7F0095F-CB30-415E-A6A8-18CB71F8C50C}"/>
  <tableColumns count="4">
    <tableColumn id="1" xr3:uid="{D0A0E97C-C9A2-4A98-A6F0-656EF21DBACA}" uniqueName="1" name="ID prodejce" queryTableFieldId="1" dataDxfId="22"/>
    <tableColumn id="2" xr3:uid="{9EC039CB-0F91-438C-B97D-62DBEA68AC2D}" uniqueName="2" name="Obchodník" queryTableFieldId="2" dataDxfId="21"/>
    <tableColumn id="3" xr3:uid="{DDF80985-D7A2-4CD9-A074-98834A739782}" uniqueName="3" name="Region" queryTableFieldId="3" dataDxfId="20"/>
    <tableColumn id="4" xr3:uid="{187E5AAB-3882-4525-816B-9A853DA5B162}" uniqueName="4" name="Nástup" queryTableFieldId="4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6244BD-DE71-427B-B17F-79D0DDF7E48C}" name="Tabulka3" displayName="Tabulka3" ref="B2:E34" totalsRowShown="0">
  <autoFilter ref="B2:E34" xr:uid="{A76244BD-DE71-427B-B17F-79D0DDF7E48C}">
    <filterColumn colId="2">
      <filters>
        <filter val="Praha"/>
      </filters>
    </filterColumn>
  </autoFilter>
  <tableColumns count="4">
    <tableColumn id="1" xr3:uid="{DE714599-28FF-42A5-9FCB-97F0C62D3956}" name="ID prodejce"/>
    <tableColumn id="2" xr3:uid="{513D68CD-67B9-441A-8C59-F31B4019F4D7}" name="Obchodník"/>
    <tableColumn id="3" xr3:uid="{DE104B48-C1EF-4EBD-ADAE-BA526D513C74}" name="Region"/>
    <tableColumn id="4" xr3:uid="{49A5D22B-4764-444E-A5B8-19F9DC995564}" name="Nástup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BF2CB5-86F3-42D3-9556-68EC5F318FEB}" name="NulovýProdejci" displayName="NulovýProdejci" ref="A1:K6" tableType="queryTable" totalsRowShown="0">
  <autoFilter ref="A1:K6" xr:uid="{76BF2CB5-86F3-42D3-9556-68EC5F318FEB}"/>
  <tableColumns count="11">
    <tableColumn id="1" xr3:uid="{7FFEF2A0-8D18-40AF-96A1-39294ECB8688}" uniqueName="1" name="Datum" queryTableFieldId="1" dataDxfId="8"/>
    <tableColumn id="2" xr3:uid="{A8B2FCAE-2878-40F1-97D6-AF414BD80F2C}" uniqueName="2" name="ID prodeje" queryTableFieldId="2"/>
    <tableColumn id="3" xr3:uid="{34617388-4A36-460F-9EC4-6D92EAD00AC8}" uniqueName="3" name="Skupina produktů" queryTableFieldId="3" dataDxfId="7"/>
    <tableColumn id="4" xr3:uid="{CE9706BA-47A6-4A98-9076-41F0BC3CAFD3}" uniqueName="4" name="typ fondu" queryTableFieldId="4" dataDxfId="6"/>
    <tableColumn id="5" xr3:uid="{F992BEEC-CFBD-4837-9A28-3CFFCC0E1322}" uniqueName="5" name="typ" queryTableFieldId="5" dataDxfId="5"/>
    <tableColumn id="6" xr3:uid="{9FB377BD-A58E-4BD6-A540-DBD4B32D4C09}" uniqueName="6" name="ID prodejce" queryTableFieldId="6" dataDxfId="4"/>
    <tableColumn id="7" xr3:uid="{AF3598AA-E6DA-4D15-A533-6701D058DB3E}" uniqueName="7" name="výše investice" queryTableFieldId="7"/>
    <tableColumn id="8" xr3:uid="{CCAF001A-5820-4097-8356-63A83B3AEB76}" uniqueName="8" name="ID prodejce.1" queryTableFieldId="8" dataDxfId="3"/>
    <tableColumn id="9" xr3:uid="{34A5074F-DA0D-4860-BF10-AD59AFB0037C}" uniqueName="9" name="Obchodník" queryTableFieldId="9" dataDxfId="2"/>
    <tableColumn id="10" xr3:uid="{08EABD24-FEDE-4B0F-92A0-E898C5FEF605}" uniqueName="10" name="Region" queryTableFieldId="10" dataDxfId="1"/>
    <tableColumn id="11" xr3:uid="{9E2A7584-9B9F-443E-B0EA-5008196414EB}" uniqueName="11" name="Nástup" queryTableFieldId="11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BAFDC-A28F-4736-867C-4652F485B53E}" name="Tabulka1" displayName="Tabulka1" ref="B2:H521" totalsRowShown="0" headerRowDxfId="24">
  <autoFilter ref="B2:H521" xr:uid="{BD1BAFDC-A28F-4736-867C-4652F485B53E}"/>
  <tableColumns count="7">
    <tableColumn id="1" xr3:uid="{9AC21A03-4898-416E-9E68-773366334B9B}" name="Datum" dataDxfId="26"/>
    <tableColumn id="2" xr3:uid="{32D42056-EC2A-4841-887E-042ADB55A34F}" name="ID prodeje"/>
    <tableColumn id="3" xr3:uid="{A177D0B7-4AE1-4F7B-8214-BC575383A74D}" name="Skupina produktů"/>
    <tableColumn id="4" xr3:uid="{9A75B567-3AA1-4794-87F2-ED270D1EE5F7}" name="typ fondu"/>
    <tableColumn id="5" xr3:uid="{1DADBC09-1561-4CC0-B1FD-946E3E39D7B0}" name="typ"/>
    <tableColumn id="6" xr3:uid="{AE1679DC-3758-472B-B37F-42B53779419E}" name="ID prodejce"/>
    <tableColumn id="7" xr3:uid="{AFCAD780-EB68-4B12-B36E-ABFFB828B6C7}" name="výše investice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42A-8CD6-4237-A231-43DC87C170B1}">
  <sheetPr>
    <tabColor rgb="FFFFFF00"/>
  </sheetPr>
  <dimension ref="A1"/>
  <sheetViews>
    <sheetView showGridLines="0" zoomScale="160" zoomScaleNormal="160" workbookViewId="0">
      <selection activeCell="N12" sqref="N12"/>
    </sheetView>
  </sheetViews>
  <sheetFormatPr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609E-586C-45FF-9F45-5FE5889A3B69}">
  <dimension ref="B3:O34"/>
  <sheetViews>
    <sheetView tabSelected="1" workbookViewId="0">
      <selection activeCell="K21" sqref="K21"/>
    </sheetView>
  </sheetViews>
  <sheetFormatPr defaultRowHeight="14.4" x14ac:dyDescent="0.3"/>
  <cols>
    <col min="3" max="3" width="14.109375" customWidth="1"/>
    <col min="4" max="4" width="18.44140625" style="15" bestFit="1" customWidth="1"/>
    <col min="7" max="7" width="15.109375" bestFit="1" customWidth="1"/>
    <col min="8" max="8" width="20.21875" style="15" bestFit="1" customWidth="1"/>
    <col min="9" max="9" width="12.6640625" style="17" customWidth="1"/>
    <col min="11" max="11" width="15.109375" customWidth="1"/>
    <col min="12" max="12" width="20.109375" customWidth="1"/>
    <col min="13" max="13" width="14.88671875" customWidth="1"/>
    <col min="14" max="14" width="21.21875" customWidth="1"/>
  </cols>
  <sheetData>
    <row r="3" spans="2:15" x14ac:dyDescent="0.3">
      <c r="B3" t="s">
        <v>72</v>
      </c>
      <c r="G3" s="12" t="s">
        <v>90</v>
      </c>
      <c r="H3" s="15" t="s">
        <v>89</v>
      </c>
    </row>
    <row r="5" spans="2:15" x14ac:dyDescent="0.3">
      <c r="B5" s="7" t="s">
        <v>73</v>
      </c>
      <c r="C5" s="7" t="s">
        <v>20</v>
      </c>
      <c r="D5" s="18" t="s">
        <v>78</v>
      </c>
      <c r="G5" s="12" t="s">
        <v>87</v>
      </c>
      <c r="H5" s="15" t="s">
        <v>86</v>
      </c>
      <c r="I5" s="21" t="s">
        <v>95</v>
      </c>
      <c r="L5" t="s">
        <v>91</v>
      </c>
      <c r="M5" t="s">
        <v>92</v>
      </c>
      <c r="N5" t="s">
        <v>93</v>
      </c>
      <c r="O5" t="s">
        <v>91</v>
      </c>
    </row>
    <row r="6" spans="2:15" x14ac:dyDescent="0.3">
      <c r="B6" s="5">
        <v>45901</v>
      </c>
      <c r="C6" s="4" t="s">
        <v>33</v>
      </c>
      <c r="D6" s="19">
        <v>80000000</v>
      </c>
      <c r="G6" s="13" t="s">
        <v>75</v>
      </c>
      <c r="H6" s="15">
        <v>62800000</v>
      </c>
      <c r="L6" t="s">
        <v>33</v>
      </c>
      <c r="M6" s="6">
        <v>105000000</v>
      </c>
      <c r="N6" s="16">
        <v>112300000</v>
      </c>
      <c r="O6" s="22">
        <f>N6/M6</f>
        <v>1.0695238095238095</v>
      </c>
    </row>
    <row r="7" spans="2:15" x14ac:dyDescent="0.3">
      <c r="B7" s="5">
        <v>45901</v>
      </c>
      <c r="C7" s="4" t="s">
        <v>74</v>
      </c>
      <c r="D7" s="19">
        <v>60000000</v>
      </c>
      <c r="G7" s="14" t="s">
        <v>53</v>
      </c>
      <c r="H7" s="15">
        <v>3200000</v>
      </c>
      <c r="I7" s="17">
        <f>GETPIVOTDATA("výše investice",$G$5,"Obchodník","Bohatá","Region","Čechy")/D22</f>
        <v>0.46933333333333332</v>
      </c>
      <c r="L7" t="s">
        <v>74</v>
      </c>
      <c r="M7" s="6">
        <v>95000000</v>
      </c>
      <c r="N7" s="16">
        <v>97150000</v>
      </c>
      <c r="O7" s="22">
        <f t="shared" ref="O7:O9" si="0">N7/M7</f>
        <v>1.0226315789473683</v>
      </c>
    </row>
    <row r="8" spans="2:15" x14ac:dyDescent="0.3">
      <c r="B8" s="5">
        <v>45901</v>
      </c>
      <c r="C8" s="4" t="s">
        <v>75</v>
      </c>
      <c r="D8" s="19">
        <v>55000000</v>
      </c>
      <c r="G8" s="14" t="s">
        <v>21</v>
      </c>
      <c r="H8" s="15">
        <v>15700000</v>
      </c>
      <c r="I8" s="17">
        <f>GETPIVOTDATA("výše investice",$G$5,"Obchodník","Bouše","Region","Čechy")/D22</f>
        <v>2.3026666666666666</v>
      </c>
      <c r="L8" t="s">
        <v>75</v>
      </c>
      <c r="M8" s="6">
        <v>75000000</v>
      </c>
      <c r="N8" s="16">
        <v>63400000</v>
      </c>
      <c r="O8" s="22">
        <f t="shared" si="0"/>
        <v>0.84533333333333338</v>
      </c>
    </row>
    <row r="9" spans="2:15" x14ac:dyDescent="0.3">
      <c r="B9" s="5">
        <v>45931</v>
      </c>
      <c r="C9" s="4" t="s">
        <v>33</v>
      </c>
      <c r="D9" s="19">
        <v>105000000</v>
      </c>
      <c r="G9" s="14" t="s">
        <v>25</v>
      </c>
      <c r="H9" s="15">
        <v>9150000</v>
      </c>
      <c r="I9" s="17">
        <f>GETPIVOTDATA("výše investice",$G$5,"Obchodník","Holý","Region","Čechy")/D22</f>
        <v>1.3419999999999999</v>
      </c>
      <c r="L9" t="s">
        <v>96</v>
      </c>
      <c r="M9" s="3">
        <f>SUM(M6:M8)</f>
        <v>275000000</v>
      </c>
      <c r="N9" s="20">
        <f>SUM(N6:N8)</f>
        <v>272850000</v>
      </c>
      <c r="O9" s="22">
        <f t="shared" si="0"/>
        <v>0.99218181818181816</v>
      </c>
    </row>
    <row r="10" spans="2:15" x14ac:dyDescent="0.3">
      <c r="B10" s="5">
        <v>45931</v>
      </c>
      <c r="C10" s="4" t="s">
        <v>74</v>
      </c>
      <c r="D10" s="19">
        <v>95000000</v>
      </c>
      <c r="G10" s="14" t="s">
        <v>61</v>
      </c>
      <c r="H10" s="15">
        <v>13000000</v>
      </c>
      <c r="I10" s="17">
        <f>GETPIVOTDATA("výše investice",$G$5,"Obchodník","Hu Dyong","Region","Čechy")/D22</f>
        <v>1.9066666666666665</v>
      </c>
    </row>
    <row r="11" spans="2:15" x14ac:dyDescent="0.3">
      <c r="B11" s="5">
        <v>45931</v>
      </c>
      <c r="C11" s="4" t="s">
        <v>75</v>
      </c>
      <c r="D11" s="19">
        <v>75000000</v>
      </c>
      <c r="G11" s="14" t="s">
        <v>63</v>
      </c>
      <c r="H11" s="15">
        <v>6750000</v>
      </c>
      <c r="I11" s="17">
        <f>GETPIVOTDATA("výše investice",$G$5,"Obchodník","Kabik","Region","Čechy")/D22</f>
        <v>0.99</v>
      </c>
    </row>
    <row r="12" spans="2:15" x14ac:dyDescent="0.3">
      <c r="B12" s="5">
        <v>45962</v>
      </c>
      <c r="C12" s="4" t="s">
        <v>33</v>
      </c>
      <c r="D12" s="19">
        <v>120000000</v>
      </c>
      <c r="G12" s="14" t="s">
        <v>28</v>
      </c>
      <c r="H12" s="15">
        <v>4700000</v>
      </c>
      <c r="I12" s="17">
        <f>GETPIVOTDATA("výše investice",$G$5,"Obchodník","Marvan","Region","Čechy")/D22</f>
        <v>0.68933333333333335</v>
      </c>
    </row>
    <row r="13" spans="2:15" x14ac:dyDescent="0.3">
      <c r="B13" s="5">
        <v>45962</v>
      </c>
      <c r="C13" s="4" t="s">
        <v>74</v>
      </c>
      <c r="D13" s="19">
        <v>100000000</v>
      </c>
      <c r="G13" s="14" t="s">
        <v>69</v>
      </c>
      <c r="H13" s="15">
        <v>4950000</v>
      </c>
      <c r="I13" s="17">
        <f>GETPIVOTDATA("výše investice",$G$5,"Obchodník","Staroch","Region","Čechy")/D22</f>
        <v>0.72599999999999998</v>
      </c>
    </row>
    <row r="14" spans="2:15" x14ac:dyDescent="0.3">
      <c r="B14" s="5">
        <v>45962</v>
      </c>
      <c r="C14" s="4" t="s">
        <v>75</v>
      </c>
      <c r="D14" s="19">
        <v>95000000</v>
      </c>
      <c r="G14" s="14" t="s">
        <v>46</v>
      </c>
      <c r="H14" s="15">
        <v>5350000</v>
      </c>
      <c r="I14" s="17">
        <f>GETPIVOTDATA("výše investice",$G$5,"Obchodník","Vodička","Region","Čechy")/D22</f>
        <v>0.78466666666666662</v>
      </c>
    </row>
    <row r="15" spans="2:15" x14ac:dyDescent="0.3">
      <c r="B15" s="5">
        <v>45992</v>
      </c>
      <c r="C15" s="4" t="s">
        <v>33</v>
      </c>
      <c r="D15" s="19">
        <v>80000000</v>
      </c>
      <c r="G15" s="13" t="s">
        <v>74</v>
      </c>
      <c r="H15" s="15">
        <v>93500000</v>
      </c>
    </row>
    <row r="16" spans="2:15" x14ac:dyDescent="0.3">
      <c r="B16" s="5">
        <v>45992</v>
      </c>
      <c r="C16" s="4" t="s">
        <v>74</v>
      </c>
      <c r="D16" s="19">
        <v>60000000</v>
      </c>
      <c r="G16" s="14" t="s">
        <v>57</v>
      </c>
      <c r="H16" s="15">
        <v>4550000</v>
      </c>
      <c r="I16" s="17">
        <f>GETPIVOTDATA("výše investice",$G$5,"Obchodník","Gondolán","Region","Morava")/D21</f>
        <v>0.47894736842105262</v>
      </c>
    </row>
    <row r="17" spans="2:9" x14ac:dyDescent="0.3">
      <c r="B17" s="5">
        <v>45992</v>
      </c>
      <c r="C17" s="4" t="s">
        <v>75</v>
      </c>
      <c r="D17" s="19">
        <v>50000000</v>
      </c>
      <c r="G17" s="14" t="s">
        <v>24</v>
      </c>
      <c r="H17" s="15">
        <v>10700000</v>
      </c>
      <c r="I17" s="17">
        <f>GETPIVOTDATA("výše investice",$G$5,"Obchodník","Havelka","Region","Morava")/D21</f>
        <v>1.1263157894736842</v>
      </c>
    </row>
    <row r="18" spans="2:9" x14ac:dyDescent="0.3">
      <c r="G18" s="14" t="s">
        <v>27</v>
      </c>
      <c r="H18" s="15">
        <v>22900000</v>
      </c>
      <c r="I18" s="17">
        <f>GETPIVOTDATA("výše investice",$G$5,"Obchodník","Janovčík","Region","Morava")/D21</f>
        <v>2.4105263157894736</v>
      </c>
    </row>
    <row r="19" spans="2:9" x14ac:dyDescent="0.3">
      <c r="C19" t="s">
        <v>94</v>
      </c>
      <c r="G19" s="14" t="s">
        <v>34</v>
      </c>
      <c r="H19" s="15">
        <v>30950000</v>
      </c>
      <c r="I19" s="17">
        <f>GETPIVOTDATA("výše investice",$G$5,"Obchodník","Náhlovská","Region","Morava")/D21</f>
        <v>3.2578947368421054</v>
      </c>
    </row>
    <row r="20" spans="2:9" x14ac:dyDescent="0.3">
      <c r="C20" t="s">
        <v>33</v>
      </c>
      <c r="D20" s="15">
        <v>10500000</v>
      </c>
      <c r="G20" s="14" t="s">
        <v>35</v>
      </c>
      <c r="H20" s="15">
        <v>7200000</v>
      </c>
    </row>
    <row r="21" spans="2:9" x14ac:dyDescent="0.3">
      <c r="C21" t="s">
        <v>74</v>
      </c>
      <c r="D21" s="15">
        <v>9500000</v>
      </c>
      <c r="G21" s="14" t="s">
        <v>37</v>
      </c>
      <c r="H21" s="15">
        <v>3750000</v>
      </c>
    </row>
    <row r="22" spans="2:9" x14ac:dyDescent="0.3">
      <c r="C22" t="s">
        <v>75</v>
      </c>
      <c r="D22" s="15">
        <f>75000000/11</f>
        <v>6818181.8181818184</v>
      </c>
      <c r="G22" s="14" t="s">
        <v>70</v>
      </c>
      <c r="H22" s="15">
        <v>13450000</v>
      </c>
    </row>
    <row r="23" spans="2:9" x14ac:dyDescent="0.3">
      <c r="G23" s="13" t="s">
        <v>33</v>
      </c>
      <c r="H23" s="15">
        <v>105000000</v>
      </c>
    </row>
    <row r="24" spans="2:9" x14ac:dyDescent="0.3">
      <c r="G24" s="14" t="s">
        <v>32</v>
      </c>
      <c r="H24" s="15">
        <v>20450000</v>
      </c>
    </row>
    <row r="25" spans="2:9" x14ac:dyDescent="0.3">
      <c r="G25" s="14" t="s">
        <v>36</v>
      </c>
      <c r="H25" s="15">
        <v>6100000</v>
      </c>
    </row>
    <row r="26" spans="2:9" x14ac:dyDescent="0.3">
      <c r="G26" s="14" t="s">
        <v>51</v>
      </c>
      <c r="H26" s="15">
        <v>4600000</v>
      </c>
    </row>
    <row r="27" spans="2:9" x14ac:dyDescent="0.3">
      <c r="G27" s="14" t="s">
        <v>68</v>
      </c>
      <c r="H27" s="15">
        <v>9350000</v>
      </c>
    </row>
    <row r="28" spans="2:9" x14ac:dyDescent="0.3">
      <c r="G28" s="14" t="s">
        <v>40</v>
      </c>
      <c r="H28" s="15">
        <v>8550000</v>
      </c>
    </row>
    <row r="29" spans="2:9" x14ac:dyDescent="0.3">
      <c r="G29" s="14" t="s">
        <v>42</v>
      </c>
      <c r="H29" s="15">
        <v>8450000</v>
      </c>
    </row>
    <row r="30" spans="2:9" x14ac:dyDescent="0.3">
      <c r="G30" s="14" t="s">
        <v>43</v>
      </c>
      <c r="H30" s="15">
        <v>11750000</v>
      </c>
    </row>
    <row r="31" spans="2:9" x14ac:dyDescent="0.3">
      <c r="G31" s="14" t="s">
        <v>65</v>
      </c>
      <c r="H31" s="15">
        <v>28650000</v>
      </c>
    </row>
    <row r="32" spans="2:9" x14ac:dyDescent="0.3">
      <c r="G32" s="14" t="s">
        <v>49</v>
      </c>
      <c r="H32" s="15">
        <v>3450000</v>
      </c>
    </row>
    <row r="33" spans="7:8" x14ac:dyDescent="0.3">
      <c r="G33" s="14" t="s">
        <v>47</v>
      </c>
      <c r="H33" s="15">
        <v>3650000</v>
      </c>
    </row>
    <row r="34" spans="7:8" x14ac:dyDescent="0.3">
      <c r="G34" s="13" t="s">
        <v>88</v>
      </c>
      <c r="H34" s="15">
        <v>261300000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0974-9A6E-43F9-B016-1B7F8605AEA3}">
  <dimension ref="A1:J470"/>
  <sheetViews>
    <sheetView workbookViewId="0">
      <selection sqref="A1:J470"/>
    </sheetView>
  </sheetViews>
  <sheetFormatPr defaultRowHeight="14.4" x14ac:dyDescent="0.3"/>
  <cols>
    <col min="1" max="1" width="14.21875" bestFit="1" customWidth="1"/>
    <col min="2" max="2" width="12" bestFit="1" customWidth="1"/>
    <col min="3" max="3" width="18.44140625" bestFit="1" customWidth="1"/>
    <col min="4" max="4" width="16.21875" bestFit="1" customWidth="1"/>
    <col min="5" max="5" width="6" bestFit="1" customWidth="1"/>
    <col min="6" max="6" width="12.88671875" bestFit="1" customWidth="1"/>
    <col min="7" max="7" width="14.77734375" bestFit="1" customWidth="1"/>
    <col min="8" max="8" width="12.44140625" bestFit="1" customWidth="1"/>
    <col min="9" max="9" width="9" bestFit="1" customWidth="1"/>
    <col min="10" max="10" width="14.21875" bestFit="1" customWidth="1"/>
  </cols>
  <sheetData>
    <row r="1" spans="1:10" x14ac:dyDescent="0.3">
      <c r="A1" t="s">
        <v>0</v>
      </c>
      <c r="B1" t="s">
        <v>1</v>
      </c>
      <c r="C1" t="s">
        <v>67</v>
      </c>
      <c r="D1" t="s">
        <v>79</v>
      </c>
      <c r="E1" t="s">
        <v>76</v>
      </c>
      <c r="F1" t="s">
        <v>58</v>
      </c>
      <c r="G1" t="s">
        <v>84</v>
      </c>
      <c r="H1" t="s">
        <v>19</v>
      </c>
      <c r="I1" t="s">
        <v>20</v>
      </c>
      <c r="J1" t="s">
        <v>66</v>
      </c>
    </row>
    <row r="2" spans="1:10" x14ac:dyDescent="0.3">
      <c r="A2" s="10">
        <v>45932</v>
      </c>
      <c r="B2">
        <v>20220012603</v>
      </c>
      <c r="C2" s="11" t="s">
        <v>85</v>
      </c>
      <c r="D2" s="11" t="s">
        <v>80</v>
      </c>
      <c r="E2" s="11" t="s">
        <v>77</v>
      </c>
      <c r="F2" s="11" t="s">
        <v>5</v>
      </c>
      <c r="G2">
        <v>1100000</v>
      </c>
      <c r="H2" s="11" t="s">
        <v>36</v>
      </c>
      <c r="I2" s="11" t="s">
        <v>33</v>
      </c>
      <c r="J2" s="10">
        <v>45748</v>
      </c>
    </row>
    <row r="3" spans="1:10" x14ac:dyDescent="0.3">
      <c r="A3" s="10">
        <v>45932</v>
      </c>
      <c r="B3">
        <v>20220012621</v>
      </c>
      <c r="C3" s="11" t="s">
        <v>85</v>
      </c>
      <c r="D3" s="11" t="s">
        <v>80</v>
      </c>
      <c r="E3" s="11" t="s">
        <v>77</v>
      </c>
      <c r="F3" s="11" t="s">
        <v>5</v>
      </c>
      <c r="G3">
        <v>1000000</v>
      </c>
      <c r="H3" s="11" t="s">
        <v>36</v>
      </c>
      <c r="I3" s="11" t="s">
        <v>33</v>
      </c>
      <c r="J3" s="10">
        <v>45748</v>
      </c>
    </row>
    <row r="4" spans="1:10" x14ac:dyDescent="0.3">
      <c r="A4" s="10">
        <v>45932</v>
      </c>
      <c r="B4">
        <v>20220012624</v>
      </c>
      <c r="C4" s="11" t="s">
        <v>85</v>
      </c>
      <c r="D4" s="11" t="s">
        <v>80</v>
      </c>
      <c r="E4" s="11" t="s">
        <v>77</v>
      </c>
      <c r="F4" s="11" t="s">
        <v>5</v>
      </c>
      <c r="G4">
        <v>2000000</v>
      </c>
      <c r="H4" s="11" t="s">
        <v>36</v>
      </c>
      <c r="I4" s="11" t="s">
        <v>33</v>
      </c>
      <c r="J4" s="10">
        <v>45748</v>
      </c>
    </row>
    <row r="5" spans="1:10" x14ac:dyDescent="0.3">
      <c r="A5" s="10">
        <v>45932</v>
      </c>
      <c r="B5">
        <v>20220012591</v>
      </c>
      <c r="C5" s="11" t="s">
        <v>85</v>
      </c>
      <c r="D5" s="11" t="s">
        <v>81</v>
      </c>
      <c r="E5" s="11" t="s">
        <v>77</v>
      </c>
      <c r="F5" s="11" t="s">
        <v>52</v>
      </c>
      <c r="G5">
        <v>1500000</v>
      </c>
      <c r="H5" s="11" t="s">
        <v>53</v>
      </c>
      <c r="I5" s="11" t="s">
        <v>75</v>
      </c>
      <c r="J5" s="10">
        <v>44958</v>
      </c>
    </row>
    <row r="6" spans="1:10" x14ac:dyDescent="0.3">
      <c r="A6" s="10">
        <v>45932</v>
      </c>
      <c r="B6">
        <v>20220012582</v>
      </c>
      <c r="C6" s="11" t="s">
        <v>85</v>
      </c>
      <c r="D6" s="11" t="s">
        <v>80</v>
      </c>
      <c r="E6" s="11" t="s">
        <v>77</v>
      </c>
      <c r="F6" s="11" t="s">
        <v>8</v>
      </c>
      <c r="G6">
        <v>2000000</v>
      </c>
      <c r="H6" s="11" t="s">
        <v>32</v>
      </c>
      <c r="I6" s="11" t="s">
        <v>33</v>
      </c>
      <c r="J6" s="10">
        <v>45383</v>
      </c>
    </row>
    <row r="7" spans="1:10" x14ac:dyDescent="0.3">
      <c r="A7" s="10">
        <v>45932</v>
      </c>
      <c r="B7">
        <v>20220012606</v>
      </c>
      <c r="C7" s="11" t="s">
        <v>85</v>
      </c>
      <c r="D7" s="11" t="s">
        <v>80</v>
      </c>
      <c r="E7" s="11" t="s">
        <v>77</v>
      </c>
      <c r="F7" s="11" t="s">
        <v>8</v>
      </c>
      <c r="G7">
        <v>100000</v>
      </c>
      <c r="H7" s="11" t="s">
        <v>32</v>
      </c>
      <c r="I7" s="11" t="s">
        <v>33</v>
      </c>
      <c r="J7" s="10">
        <v>45383</v>
      </c>
    </row>
    <row r="8" spans="1:10" x14ac:dyDescent="0.3">
      <c r="A8" s="10">
        <v>45932</v>
      </c>
      <c r="B8">
        <v>20220012576</v>
      </c>
      <c r="C8" s="11" t="s">
        <v>85</v>
      </c>
      <c r="D8" s="11" t="s">
        <v>81</v>
      </c>
      <c r="E8" s="11" t="s">
        <v>77</v>
      </c>
      <c r="F8" s="11" t="s">
        <v>56</v>
      </c>
      <c r="G8">
        <v>1200000</v>
      </c>
      <c r="H8" s="11" t="s">
        <v>57</v>
      </c>
      <c r="I8" s="11" t="s">
        <v>74</v>
      </c>
      <c r="J8" s="10">
        <v>45566</v>
      </c>
    </row>
    <row r="9" spans="1:10" x14ac:dyDescent="0.3">
      <c r="A9" s="10">
        <v>45932</v>
      </c>
      <c r="B9">
        <v>20220012585</v>
      </c>
      <c r="C9" s="11" t="s">
        <v>85</v>
      </c>
      <c r="D9" s="11" t="s">
        <v>81</v>
      </c>
      <c r="E9" s="11" t="s">
        <v>77</v>
      </c>
      <c r="F9" s="11" t="s">
        <v>17</v>
      </c>
      <c r="G9">
        <v>750000</v>
      </c>
      <c r="H9" s="11" t="s">
        <v>24</v>
      </c>
      <c r="I9" s="11" t="s">
        <v>74</v>
      </c>
      <c r="J9" s="10">
        <v>45383</v>
      </c>
    </row>
    <row r="10" spans="1:10" x14ac:dyDescent="0.3">
      <c r="A10" s="10">
        <v>45932</v>
      </c>
      <c r="B10">
        <v>20220012588</v>
      </c>
      <c r="C10" s="11" t="s">
        <v>85</v>
      </c>
      <c r="D10" s="11" t="s">
        <v>81</v>
      </c>
      <c r="E10" s="11" t="s">
        <v>77</v>
      </c>
      <c r="F10" s="11" t="s">
        <v>17</v>
      </c>
      <c r="G10">
        <v>300000</v>
      </c>
      <c r="H10" s="11" t="s">
        <v>24</v>
      </c>
      <c r="I10" s="11" t="s">
        <v>74</v>
      </c>
      <c r="J10" s="10">
        <v>45383</v>
      </c>
    </row>
    <row r="11" spans="1:10" x14ac:dyDescent="0.3">
      <c r="A11" s="10">
        <v>45932</v>
      </c>
      <c r="B11">
        <v>20220012627</v>
      </c>
      <c r="C11" s="11" t="s">
        <v>85</v>
      </c>
      <c r="D11" s="11" t="s">
        <v>80</v>
      </c>
      <c r="E11" s="11" t="s">
        <v>77</v>
      </c>
      <c r="F11" s="11" t="s">
        <v>17</v>
      </c>
      <c r="G11">
        <v>450000</v>
      </c>
      <c r="H11" s="11" t="s">
        <v>24</v>
      </c>
      <c r="I11" s="11" t="s">
        <v>74</v>
      </c>
      <c r="J11" s="10">
        <v>45383</v>
      </c>
    </row>
    <row r="12" spans="1:10" x14ac:dyDescent="0.3">
      <c r="A12" s="10">
        <v>45932</v>
      </c>
      <c r="B12">
        <v>20220012579</v>
      </c>
      <c r="C12" s="11" t="s">
        <v>85</v>
      </c>
      <c r="D12" s="11" t="s">
        <v>80</v>
      </c>
      <c r="E12" s="11" t="s">
        <v>77</v>
      </c>
      <c r="F12" s="11" t="s">
        <v>2</v>
      </c>
      <c r="G12">
        <v>300000</v>
      </c>
      <c r="H12" s="11" t="s">
        <v>25</v>
      </c>
      <c r="I12" s="11" t="s">
        <v>75</v>
      </c>
      <c r="J12" s="10">
        <v>45809</v>
      </c>
    </row>
    <row r="13" spans="1:10" x14ac:dyDescent="0.3">
      <c r="A13" s="10">
        <v>45932</v>
      </c>
      <c r="B13">
        <v>20220012609</v>
      </c>
      <c r="C13" s="11" t="s">
        <v>85</v>
      </c>
      <c r="D13" s="11" t="s">
        <v>80</v>
      </c>
      <c r="E13" s="11" t="s">
        <v>77</v>
      </c>
      <c r="F13" s="11" t="s">
        <v>2</v>
      </c>
      <c r="G13">
        <v>100000</v>
      </c>
      <c r="H13" s="11" t="s">
        <v>25</v>
      </c>
      <c r="I13" s="11" t="s">
        <v>75</v>
      </c>
      <c r="J13" s="10">
        <v>45809</v>
      </c>
    </row>
    <row r="14" spans="1:10" x14ac:dyDescent="0.3">
      <c r="A14" s="10">
        <v>45932</v>
      </c>
      <c r="B14">
        <v>20220012612</v>
      </c>
      <c r="C14" s="11" t="s">
        <v>85</v>
      </c>
      <c r="D14" s="11" t="s">
        <v>80</v>
      </c>
      <c r="E14" s="11" t="s">
        <v>77</v>
      </c>
      <c r="F14" s="11" t="s">
        <v>2</v>
      </c>
      <c r="G14">
        <v>1000000</v>
      </c>
      <c r="H14" s="11" t="s">
        <v>25</v>
      </c>
      <c r="I14" s="11" t="s">
        <v>75</v>
      </c>
      <c r="J14" s="10">
        <v>45809</v>
      </c>
    </row>
    <row r="15" spans="1:10" x14ac:dyDescent="0.3">
      <c r="A15" s="10">
        <v>45932</v>
      </c>
      <c r="B15">
        <v>20220012615</v>
      </c>
      <c r="C15" s="11" t="s">
        <v>85</v>
      </c>
      <c r="D15" s="11" t="s">
        <v>81</v>
      </c>
      <c r="E15" s="11" t="s">
        <v>77</v>
      </c>
      <c r="F15" s="11" t="s">
        <v>2</v>
      </c>
      <c r="G15">
        <v>250000</v>
      </c>
      <c r="H15" s="11" t="s">
        <v>25</v>
      </c>
      <c r="I15" s="11" t="s">
        <v>75</v>
      </c>
      <c r="J15" s="10">
        <v>45809</v>
      </c>
    </row>
    <row r="16" spans="1:10" x14ac:dyDescent="0.3">
      <c r="A16" s="10">
        <v>45931</v>
      </c>
      <c r="B16">
        <v>20220012572</v>
      </c>
      <c r="C16" s="11" t="s">
        <v>85</v>
      </c>
      <c r="D16" s="11" t="s">
        <v>81</v>
      </c>
      <c r="E16" s="11" t="s">
        <v>77</v>
      </c>
      <c r="F16" s="11" t="s">
        <v>10</v>
      </c>
      <c r="G16">
        <v>1450000</v>
      </c>
      <c r="H16" s="11" t="s">
        <v>46</v>
      </c>
      <c r="I16" s="11" t="s">
        <v>75</v>
      </c>
      <c r="J16" s="10">
        <v>44958</v>
      </c>
    </row>
    <row r="17" spans="1:10" x14ac:dyDescent="0.3">
      <c r="A17" s="10">
        <v>45931</v>
      </c>
      <c r="B17">
        <v>20220012573</v>
      </c>
      <c r="C17" s="11" t="s">
        <v>85</v>
      </c>
      <c r="D17" s="11" t="s">
        <v>81</v>
      </c>
      <c r="E17" s="11" t="s">
        <v>77</v>
      </c>
      <c r="F17" s="11" t="s">
        <v>10</v>
      </c>
      <c r="G17">
        <v>300000</v>
      </c>
      <c r="H17" s="11" t="s">
        <v>46</v>
      </c>
      <c r="I17" s="11" t="s">
        <v>75</v>
      </c>
      <c r="J17" s="10">
        <v>44958</v>
      </c>
    </row>
    <row r="18" spans="1:10" x14ac:dyDescent="0.3">
      <c r="A18" s="10">
        <v>45932</v>
      </c>
      <c r="B18">
        <v>20220012594</v>
      </c>
      <c r="C18" s="11" t="s">
        <v>85</v>
      </c>
      <c r="D18" s="11" t="s">
        <v>81</v>
      </c>
      <c r="E18" s="11" t="s">
        <v>77</v>
      </c>
      <c r="F18" s="11" t="s">
        <v>16</v>
      </c>
      <c r="G18">
        <v>600000</v>
      </c>
      <c r="H18" s="11" t="s">
        <v>37</v>
      </c>
      <c r="I18" s="11" t="s">
        <v>74</v>
      </c>
      <c r="J18" s="10">
        <v>45566</v>
      </c>
    </row>
    <row r="19" spans="1:10" x14ac:dyDescent="0.3">
      <c r="A19" s="10">
        <v>45932</v>
      </c>
      <c r="B19">
        <v>20220012597</v>
      </c>
      <c r="C19" s="11" t="s">
        <v>85</v>
      </c>
      <c r="D19" s="11" t="s">
        <v>81</v>
      </c>
      <c r="E19" s="11" t="s">
        <v>77</v>
      </c>
      <c r="F19" s="11" t="s">
        <v>16</v>
      </c>
      <c r="G19">
        <v>600000</v>
      </c>
      <c r="H19" s="11" t="s">
        <v>37</v>
      </c>
      <c r="I19" s="11" t="s">
        <v>74</v>
      </c>
      <c r="J19" s="10">
        <v>45566</v>
      </c>
    </row>
    <row r="20" spans="1:10" x14ac:dyDescent="0.3">
      <c r="A20" s="10">
        <v>45932</v>
      </c>
      <c r="B20">
        <v>20220012600</v>
      </c>
      <c r="C20" s="11" t="s">
        <v>85</v>
      </c>
      <c r="D20" s="11" t="s">
        <v>80</v>
      </c>
      <c r="E20" s="11" t="s">
        <v>77</v>
      </c>
      <c r="F20" s="11" t="s">
        <v>41</v>
      </c>
      <c r="G20">
        <v>1000000</v>
      </c>
      <c r="H20" s="11" t="s">
        <v>40</v>
      </c>
      <c r="I20" s="11" t="s">
        <v>33</v>
      </c>
      <c r="J20" s="10">
        <v>45809</v>
      </c>
    </row>
    <row r="21" spans="1:10" x14ac:dyDescent="0.3">
      <c r="A21" s="10">
        <v>45932</v>
      </c>
      <c r="B21">
        <v>20220012618</v>
      </c>
      <c r="C21" s="11" t="s">
        <v>85</v>
      </c>
      <c r="D21" s="11" t="s">
        <v>80</v>
      </c>
      <c r="E21" s="11" t="s">
        <v>77</v>
      </c>
      <c r="F21" s="11" t="s">
        <v>41</v>
      </c>
      <c r="G21">
        <v>300000</v>
      </c>
      <c r="H21" s="11" t="s">
        <v>40</v>
      </c>
      <c r="I21" s="11" t="s">
        <v>33</v>
      </c>
      <c r="J21" s="10">
        <v>45809</v>
      </c>
    </row>
    <row r="22" spans="1:10" x14ac:dyDescent="0.3">
      <c r="A22" s="10">
        <v>45932</v>
      </c>
      <c r="B22">
        <v>20220012630</v>
      </c>
      <c r="C22" s="11" t="s">
        <v>85</v>
      </c>
      <c r="D22" s="11" t="s">
        <v>80</v>
      </c>
      <c r="E22" s="11" t="s">
        <v>77</v>
      </c>
      <c r="F22" s="11" t="s">
        <v>17</v>
      </c>
      <c r="G22">
        <v>450000</v>
      </c>
      <c r="H22" s="11" t="s">
        <v>24</v>
      </c>
      <c r="I22" s="11" t="s">
        <v>74</v>
      </c>
      <c r="J22" s="10">
        <v>45383</v>
      </c>
    </row>
    <row r="23" spans="1:10" x14ac:dyDescent="0.3">
      <c r="A23" s="10">
        <v>45932</v>
      </c>
      <c r="B23">
        <v>20220012633</v>
      </c>
      <c r="C23" s="11" t="s">
        <v>85</v>
      </c>
      <c r="D23" s="11" t="s">
        <v>80</v>
      </c>
      <c r="E23" s="11" t="s">
        <v>77</v>
      </c>
      <c r="F23" s="11" t="s">
        <v>17</v>
      </c>
      <c r="G23">
        <v>1450000</v>
      </c>
      <c r="H23" s="11" t="s">
        <v>24</v>
      </c>
      <c r="I23" s="11" t="s">
        <v>74</v>
      </c>
      <c r="J23" s="10">
        <v>45383</v>
      </c>
    </row>
    <row r="24" spans="1:10" x14ac:dyDescent="0.3">
      <c r="A24" s="10">
        <v>45932</v>
      </c>
      <c r="B24">
        <v>20220012645</v>
      </c>
      <c r="C24" s="11" t="s">
        <v>85</v>
      </c>
      <c r="D24" s="11" t="s">
        <v>82</v>
      </c>
      <c r="E24" s="11" t="s">
        <v>77</v>
      </c>
      <c r="F24" s="11" t="s">
        <v>2</v>
      </c>
      <c r="G24">
        <v>1650000</v>
      </c>
      <c r="H24" s="11" t="s">
        <v>25</v>
      </c>
      <c r="I24" s="11" t="s">
        <v>75</v>
      </c>
      <c r="J24" s="10">
        <v>45809</v>
      </c>
    </row>
    <row r="25" spans="1:10" x14ac:dyDescent="0.3">
      <c r="A25" s="10">
        <v>45932</v>
      </c>
      <c r="B25">
        <v>20220012648</v>
      </c>
      <c r="C25" s="11" t="s">
        <v>85</v>
      </c>
      <c r="D25" s="11" t="s">
        <v>82</v>
      </c>
      <c r="E25" s="11" t="s">
        <v>77</v>
      </c>
      <c r="F25" s="11" t="s">
        <v>2</v>
      </c>
      <c r="G25">
        <v>450000</v>
      </c>
      <c r="H25" s="11" t="s">
        <v>25</v>
      </c>
      <c r="I25" s="11" t="s">
        <v>75</v>
      </c>
      <c r="J25" s="10">
        <v>45809</v>
      </c>
    </row>
    <row r="26" spans="1:10" x14ac:dyDescent="0.3">
      <c r="A26" s="10">
        <v>45932</v>
      </c>
      <c r="B26">
        <v>20220012651</v>
      </c>
      <c r="C26" s="11" t="s">
        <v>85</v>
      </c>
      <c r="D26" s="11" t="s">
        <v>82</v>
      </c>
      <c r="E26" s="11" t="s">
        <v>77</v>
      </c>
      <c r="F26" s="11" t="s">
        <v>2</v>
      </c>
      <c r="G26">
        <v>450000</v>
      </c>
      <c r="H26" s="11" t="s">
        <v>25</v>
      </c>
      <c r="I26" s="11" t="s">
        <v>75</v>
      </c>
      <c r="J26" s="10">
        <v>45809</v>
      </c>
    </row>
    <row r="27" spans="1:10" x14ac:dyDescent="0.3">
      <c r="A27" s="10">
        <v>45932</v>
      </c>
      <c r="B27">
        <v>20220012654</v>
      </c>
      <c r="C27" s="11" t="s">
        <v>85</v>
      </c>
      <c r="D27" s="11" t="s">
        <v>81</v>
      </c>
      <c r="E27" s="11" t="s">
        <v>77</v>
      </c>
      <c r="F27" s="11" t="s">
        <v>5</v>
      </c>
      <c r="G27">
        <v>1000000</v>
      </c>
      <c r="H27" s="11" t="s">
        <v>36</v>
      </c>
      <c r="I27" s="11" t="s">
        <v>33</v>
      </c>
      <c r="J27" s="10">
        <v>45748</v>
      </c>
    </row>
    <row r="28" spans="1:10" x14ac:dyDescent="0.3">
      <c r="A28" s="10">
        <v>45932</v>
      </c>
      <c r="B28">
        <v>20220012657</v>
      </c>
      <c r="C28" s="11" t="s">
        <v>85</v>
      </c>
      <c r="D28" s="11" t="s">
        <v>81</v>
      </c>
      <c r="E28" s="11" t="s">
        <v>77</v>
      </c>
      <c r="F28" s="11" t="s">
        <v>8</v>
      </c>
      <c r="G28">
        <v>100000</v>
      </c>
      <c r="H28" s="11" t="s">
        <v>32</v>
      </c>
      <c r="I28" s="11" t="s">
        <v>33</v>
      </c>
      <c r="J28" s="10">
        <v>45383</v>
      </c>
    </row>
    <row r="29" spans="1:10" x14ac:dyDescent="0.3">
      <c r="A29" s="10">
        <v>45932</v>
      </c>
      <c r="B29">
        <v>20220012660</v>
      </c>
      <c r="C29" s="11" t="s">
        <v>85</v>
      </c>
      <c r="D29" s="11" t="s">
        <v>81</v>
      </c>
      <c r="E29" s="11" t="s">
        <v>77</v>
      </c>
      <c r="F29" s="11" t="s">
        <v>8</v>
      </c>
      <c r="G29">
        <v>100000</v>
      </c>
      <c r="H29" s="11" t="s">
        <v>32</v>
      </c>
      <c r="I29" s="11" t="s">
        <v>33</v>
      </c>
      <c r="J29" s="10">
        <v>45383</v>
      </c>
    </row>
    <row r="30" spans="1:10" x14ac:dyDescent="0.3">
      <c r="A30" s="10">
        <v>45932</v>
      </c>
      <c r="B30">
        <v>20220012663</v>
      </c>
      <c r="C30" s="11" t="s">
        <v>85</v>
      </c>
      <c r="D30" s="11" t="s">
        <v>82</v>
      </c>
      <c r="E30" s="11" t="s">
        <v>77</v>
      </c>
      <c r="F30" s="11" t="s">
        <v>17</v>
      </c>
      <c r="G30">
        <v>1000000</v>
      </c>
      <c r="H30" s="11" t="s">
        <v>24</v>
      </c>
      <c r="I30" s="11" t="s">
        <v>74</v>
      </c>
      <c r="J30" s="10">
        <v>45383</v>
      </c>
    </row>
    <row r="31" spans="1:10" x14ac:dyDescent="0.3">
      <c r="A31" s="10">
        <v>45932</v>
      </c>
      <c r="B31">
        <v>20220012666</v>
      </c>
      <c r="C31" s="11" t="s">
        <v>85</v>
      </c>
      <c r="D31" s="11" t="s">
        <v>82</v>
      </c>
      <c r="E31" s="11" t="s">
        <v>77</v>
      </c>
      <c r="F31" s="11" t="s">
        <v>17</v>
      </c>
      <c r="G31">
        <v>1000000</v>
      </c>
      <c r="H31" s="11" t="s">
        <v>24</v>
      </c>
      <c r="I31" s="11" t="s">
        <v>74</v>
      </c>
      <c r="J31" s="10">
        <v>45383</v>
      </c>
    </row>
    <row r="32" spans="1:10" x14ac:dyDescent="0.3">
      <c r="A32" s="10">
        <v>45932</v>
      </c>
      <c r="B32">
        <v>20220012669</v>
      </c>
      <c r="C32" s="11" t="s">
        <v>85</v>
      </c>
      <c r="D32" s="11" t="s">
        <v>82</v>
      </c>
      <c r="E32" s="11" t="s">
        <v>77</v>
      </c>
      <c r="F32" s="11" t="s">
        <v>17</v>
      </c>
      <c r="G32">
        <v>1000000</v>
      </c>
      <c r="H32" s="11" t="s">
        <v>24</v>
      </c>
      <c r="I32" s="11" t="s">
        <v>74</v>
      </c>
      <c r="J32" s="10">
        <v>45383</v>
      </c>
    </row>
    <row r="33" spans="1:10" x14ac:dyDescent="0.3">
      <c r="A33" s="10">
        <v>45932</v>
      </c>
      <c r="B33">
        <v>20220012672</v>
      </c>
      <c r="C33" s="11" t="s">
        <v>85</v>
      </c>
      <c r="D33" s="11" t="s">
        <v>82</v>
      </c>
      <c r="E33" s="11" t="s">
        <v>77</v>
      </c>
      <c r="F33" s="11" t="s">
        <v>56</v>
      </c>
      <c r="G33">
        <v>250000</v>
      </c>
      <c r="H33" s="11" t="s">
        <v>57</v>
      </c>
      <c r="I33" s="11" t="s">
        <v>74</v>
      </c>
      <c r="J33" s="10">
        <v>45566</v>
      </c>
    </row>
    <row r="34" spans="1:10" x14ac:dyDescent="0.3">
      <c r="A34" s="10">
        <v>45932</v>
      </c>
      <c r="B34">
        <v>20220012675</v>
      </c>
      <c r="C34" s="11" t="s">
        <v>85</v>
      </c>
      <c r="D34" s="11" t="s">
        <v>82</v>
      </c>
      <c r="E34" s="11" t="s">
        <v>77</v>
      </c>
      <c r="F34" s="11" t="s">
        <v>2</v>
      </c>
      <c r="G34">
        <v>250000</v>
      </c>
      <c r="H34" s="11" t="s">
        <v>25</v>
      </c>
      <c r="I34" s="11" t="s">
        <v>75</v>
      </c>
      <c r="J34" s="10">
        <v>45809</v>
      </c>
    </row>
    <row r="35" spans="1:10" x14ac:dyDescent="0.3">
      <c r="A35" s="10">
        <v>45932</v>
      </c>
      <c r="B35">
        <v>20220012678</v>
      </c>
      <c r="C35" s="11" t="s">
        <v>85</v>
      </c>
      <c r="D35" s="11" t="s">
        <v>82</v>
      </c>
      <c r="E35" s="11" t="s">
        <v>77</v>
      </c>
      <c r="F35" s="11" t="s">
        <v>2</v>
      </c>
      <c r="G35">
        <v>250000</v>
      </c>
      <c r="H35" s="11" t="s">
        <v>25</v>
      </c>
      <c r="I35" s="11" t="s">
        <v>75</v>
      </c>
      <c r="J35" s="10">
        <v>45809</v>
      </c>
    </row>
    <row r="36" spans="1:10" x14ac:dyDescent="0.3">
      <c r="A36" s="10">
        <v>45932</v>
      </c>
      <c r="B36">
        <v>20220012681</v>
      </c>
      <c r="C36" s="11" t="s">
        <v>85</v>
      </c>
      <c r="D36" s="11" t="s">
        <v>82</v>
      </c>
      <c r="E36" s="11" t="s">
        <v>77</v>
      </c>
      <c r="F36" s="11" t="s">
        <v>2</v>
      </c>
      <c r="G36">
        <v>1000000</v>
      </c>
      <c r="H36" s="11" t="s">
        <v>25</v>
      </c>
      <c r="I36" s="11" t="s">
        <v>75</v>
      </c>
      <c r="J36" s="10">
        <v>45809</v>
      </c>
    </row>
    <row r="37" spans="1:10" x14ac:dyDescent="0.3">
      <c r="A37" s="10">
        <v>45932</v>
      </c>
      <c r="B37">
        <v>20220012684</v>
      </c>
      <c r="C37" s="11" t="s">
        <v>85</v>
      </c>
      <c r="D37" s="11" t="s">
        <v>82</v>
      </c>
      <c r="E37" s="11" t="s">
        <v>77</v>
      </c>
      <c r="F37" s="11" t="s">
        <v>2</v>
      </c>
      <c r="G37">
        <v>100000</v>
      </c>
      <c r="H37" s="11" t="s">
        <v>25</v>
      </c>
      <c r="I37" s="11" t="s">
        <v>75</v>
      </c>
      <c r="J37" s="10">
        <v>45809</v>
      </c>
    </row>
    <row r="38" spans="1:10" x14ac:dyDescent="0.3">
      <c r="A38" s="10">
        <v>45932</v>
      </c>
      <c r="B38">
        <v>20220012687</v>
      </c>
      <c r="C38" s="11" t="s">
        <v>85</v>
      </c>
      <c r="D38" s="11" t="s">
        <v>82</v>
      </c>
      <c r="E38" s="11" t="s">
        <v>77</v>
      </c>
      <c r="F38" s="11" t="s">
        <v>2</v>
      </c>
      <c r="G38">
        <v>100000</v>
      </c>
      <c r="H38" s="11" t="s">
        <v>25</v>
      </c>
      <c r="I38" s="11" t="s">
        <v>75</v>
      </c>
      <c r="J38" s="10">
        <v>45809</v>
      </c>
    </row>
    <row r="39" spans="1:10" x14ac:dyDescent="0.3">
      <c r="A39" s="10">
        <v>45932</v>
      </c>
      <c r="B39">
        <v>20220012690</v>
      </c>
      <c r="C39" s="11" t="s">
        <v>85</v>
      </c>
      <c r="D39" s="11" t="s">
        <v>82</v>
      </c>
      <c r="E39" s="11" t="s">
        <v>77</v>
      </c>
      <c r="F39" s="11" t="s">
        <v>9</v>
      </c>
      <c r="G39">
        <v>100000</v>
      </c>
      <c r="H39" s="11" t="s">
        <v>42</v>
      </c>
      <c r="I39" s="11" t="s">
        <v>33</v>
      </c>
      <c r="J39" s="10">
        <v>44958</v>
      </c>
    </row>
    <row r="40" spans="1:10" x14ac:dyDescent="0.3">
      <c r="A40" s="10">
        <v>45932</v>
      </c>
      <c r="B40">
        <v>20220012693</v>
      </c>
      <c r="C40" s="11" t="s">
        <v>85</v>
      </c>
      <c r="D40" s="11" t="s">
        <v>82</v>
      </c>
      <c r="E40" s="11" t="s">
        <v>77</v>
      </c>
      <c r="F40" s="11" t="s">
        <v>9</v>
      </c>
      <c r="G40">
        <v>100000</v>
      </c>
      <c r="H40" s="11" t="s">
        <v>42</v>
      </c>
      <c r="I40" s="11" t="s">
        <v>33</v>
      </c>
      <c r="J40" s="10">
        <v>44958</v>
      </c>
    </row>
    <row r="41" spans="1:10" x14ac:dyDescent="0.3">
      <c r="A41" s="10">
        <v>45932</v>
      </c>
      <c r="B41">
        <v>20220012696</v>
      </c>
      <c r="C41" s="11" t="s">
        <v>85</v>
      </c>
      <c r="D41" s="11" t="s">
        <v>82</v>
      </c>
      <c r="E41" s="11" t="s">
        <v>77</v>
      </c>
      <c r="F41" s="11" t="s">
        <v>9</v>
      </c>
      <c r="G41">
        <v>1000000</v>
      </c>
      <c r="H41" s="11" t="s">
        <v>42</v>
      </c>
      <c r="I41" s="11" t="s">
        <v>33</v>
      </c>
      <c r="J41" s="10">
        <v>44958</v>
      </c>
    </row>
    <row r="42" spans="1:10" x14ac:dyDescent="0.3">
      <c r="A42" s="10">
        <v>45932</v>
      </c>
      <c r="B42">
        <v>20220012699</v>
      </c>
      <c r="C42" s="11" t="s">
        <v>85</v>
      </c>
      <c r="D42" s="11" t="s">
        <v>82</v>
      </c>
      <c r="E42" s="11" t="s">
        <v>77</v>
      </c>
      <c r="F42" s="11" t="s">
        <v>50</v>
      </c>
      <c r="G42">
        <v>200000</v>
      </c>
      <c r="H42" s="11" t="s">
        <v>51</v>
      </c>
      <c r="I42" s="11" t="s">
        <v>33</v>
      </c>
      <c r="J42" s="10">
        <v>44958</v>
      </c>
    </row>
    <row r="43" spans="1:10" x14ac:dyDescent="0.3">
      <c r="A43" s="10">
        <v>45932</v>
      </c>
      <c r="B43">
        <v>20220012702</v>
      </c>
      <c r="C43" s="11" t="s">
        <v>85</v>
      </c>
      <c r="D43" s="11" t="s">
        <v>81</v>
      </c>
      <c r="E43" s="11" t="s">
        <v>77</v>
      </c>
      <c r="F43" s="11" t="s">
        <v>44</v>
      </c>
      <c r="G43">
        <v>750000</v>
      </c>
      <c r="H43" s="11" t="s">
        <v>43</v>
      </c>
      <c r="I43" s="11" t="s">
        <v>33</v>
      </c>
      <c r="J43" s="10">
        <v>45901</v>
      </c>
    </row>
    <row r="44" spans="1:10" x14ac:dyDescent="0.3">
      <c r="A44" s="10">
        <v>45933</v>
      </c>
      <c r="B44">
        <v>20220012705</v>
      </c>
      <c r="C44" s="11" t="s">
        <v>85</v>
      </c>
      <c r="D44" s="11" t="s">
        <v>81</v>
      </c>
      <c r="E44" s="11" t="s">
        <v>77</v>
      </c>
      <c r="F44" s="11" t="s">
        <v>41</v>
      </c>
      <c r="G44">
        <v>250000</v>
      </c>
      <c r="H44" s="11" t="s">
        <v>40</v>
      </c>
      <c r="I44" s="11" t="s">
        <v>33</v>
      </c>
      <c r="J44" s="10">
        <v>45809</v>
      </c>
    </row>
    <row r="45" spans="1:10" x14ac:dyDescent="0.3">
      <c r="A45" s="10">
        <v>45933</v>
      </c>
      <c r="B45">
        <v>20220012708</v>
      </c>
      <c r="C45" s="11" t="s">
        <v>85</v>
      </c>
      <c r="D45" s="11" t="s">
        <v>81</v>
      </c>
      <c r="E45" s="11" t="s">
        <v>77</v>
      </c>
      <c r="F45" s="11" t="s">
        <v>48</v>
      </c>
      <c r="G45">
        <v>250000</v>
      </c>
      <c r="H45" s="11" t="s">
        <v>49</v>
      </c>
      <c r="I45" s="11" t="s">
        <v>33</v>
      </c>
      <c r="J45" s="10">
        <v>45383</v>
      </c>
    </row>
    <row r="46" spans="1:10" x14ac:dyDescent="0.3">
      <c r="A46" s="10">
        <v>45933</v>
      </c>
      <c r="B46">
        <v>20220012711</v>
      </c>
      <c r="C46" s="11" t="s">
        <v>85</v>
      </c>
      <c r="D46" s="11" t="s">
        <v>81</v>
      </c>
      <c r="E46" s="11" t="s">
        <v>77</v>
      </c>
      <c r="F46" s="11" t="s">
        <v>7</v>
      </c>
      <c r="G46">
        <v>100000</v>
      </c>
      <c r="H46" s="11" t="s">
        <v>47</v>
      </c>
      <c r="I46" s="11" t="s">
        <v>33</v>
      </c>
      <c r="J46" s="10">
        <v>44958</v>
      </c>
    </row>
    <row r="47" spans="1:10" x14ac:dyDescent="0.3">
      <c r="A47" s="10">
        <v>45933</v>
      </c>
      <c r="B47">
        <v>20220012714</v>
      </c>
      <c r="C47" s="11" t="s">
        <v>85</v>
      </c>
      <c r="D47" s="11" t="s">
        <v>81</v>
      </c>
      <c r="E47" s="11" t="s">
        <v>77</v>
      </c>
      <c r="F47" s="11" t="s">
        <v>5</v>
      </c>
      <c r="G47">
        <v>1000000</v>
      </c>
      <c r="H47" s="11" t="s">
        <v>36</v>
      </c>
      <c r="I47" s="11" t="s">
        <v>33</v>
      </c>
      <c r="J47" s="10">
        <v>45748</v>
      </c>
    </row>
    <row r="48" spans="1:10" x14ac:dyDescent="0.3">
      <c r="A48" s="10">
        <v>45933</v>
      </c>
      <c r="B48">
        <v>20220012717</v>
      </c>
      <c r="C48" s="11" t="s">
        <v>85</v>
      </c>
      <c r="D48" s="11" t="s">
        <v>82</v>
      </c>
      <c r="E48" s="11" t="s">
        <v>77</v>
      </c>
      <c r="F48" s="11" t="s">
        <v>8</v>
      </c>
      <c r="G48">
        <v>600000</v>
      </c>
      <c r="H48" s="11" t="s">
        <v>32</v>
      </c>
      <c r="I48" s="11" t="s">
        <v>33</v>
      </c>
      <c r="J48" s="10">
        <v>45383</v>
      </c>
    </row>
    <row r="49" spans="1:10" x14ac:dyDescent="0.3">
      <c r="A49" s="10">
        <v>45933</v>
      </c>
      <c r="B49">
        <v>20220012720</v>
      </c>
      <c r="C49" s="11" t="s">
        <v>85</v>
      </c>
      <c r="D49" s="11" t="s">
        <v>82</v>
      </c>
      <c r="E49" s="11" t="s">
        <v>77</v>
      </c>
      <c r="F49" s="11" t="s">
        <v>8</v>
      </c>
      <c r="G49">
        <v>600000</v>
      </c>
      <c r="H49" s="11" t="s">
        <v>32</v>
      </c>
      <c r="I49" s="11" t="s">
        <v>33</v>
      </c>
      <c r="J49" s="10">
        <v>45383</v>
      </c>
    </row>
    <row r="50" spans="1:10" x14ac:dyDescent="0.3">
      <c r="A50" s="10">
        <v>45933</v>
      </c>
      <c r="B50">
        <v>20220012723</v>
      </c>
      <c r="C50" s="11" t="s">
        <v>85</v>
      </c>
      <c r="D50" s="11" t="s">
        <v>81</v>
      </c>
      <c r="E50" s="11" t="s">
        <v>77</v>
      </c>
      <c r="F50" s="11" t="s">
        <v>64</v>
      </c>
      <c r="G50">
        <v>1000000</v>
      </c>
      <c r="H50" s="11" t="s">
        <v>65</v>
      </c>
      <c r="I50" s="11" t="s">
        <v>33</v>
      </c>
      <c r="J50" s="10">
        <v>45748</v>
      </c>
    </row>
    <row r="51" spans="1:10" x14ac:dyDescent="0.3">
      <c r="A51" s="10">
        <v>45933</v>
      </c>
      <c r="B51">
        <v>20220012726</v>
      </c>
      <c r="C51" s="11" t="s">
        <v>85</v>
      </c>
      <c r="D51" s="11" t="s">
        <v>81</v>
      </c>
      <c r="E51" s="11" t="s">
        <v>77</v>
      </c>
      <c r="F51" s="11" t="s">
        <v>64</v>
      </c>
      <c r="G51">
        <v>300000</v>
      </c>
      <c r="H51" s="11" t="s">
        <v>65</v>
      </c>
      <c r="I51" s="11" t="s">
        <v>33</v>
      </c>
      <c r="J51" s="10">
        <v>45748</v>
      </c>
    </row>
    <row r="52" spans="1:10" x14ac:dyDescent="0.3">
      <c r="A52" s="10">
        <v>45933</v>
      </c>
      <c r="B52">
        <v>20220012729</v>
      </c>
      <c r="C52" s="11" t="s">
        <v>85</v>
      </c>
      <c r="D52" s="11" t="s">
        <v>82</v>
      </c>
      <c r="E52" s="11" t="s">
        <v>77</v>
      </c>
      <c r="F52" s="11" t="s">
        <v>8</v>
      </c>
      <c r="G52">
        <v>100000</v>
      </c>
      <c r="H52" s="11" t="s">
        <v>32</v>
      </c>
      <c r="I52" s="11" t="s">
        <v>33</v>
      </c>
      <c r="J52" s="10">
        <v>45383</v>
      </c>
    </row>
    <row r="53" spans="1:10" x14ac:dyDescent="0.3">
      <c r="A53" s="10">
        <v>45933</v>
      </c>
      <c r="B53">
        <v>20220012732</v>
      </c>
      <c r="C53" s="11" t="s">
        <v>85</v>
      </c>
      <c r="D53" s="11" t="s">
        <v>81</v>
      </c>
      <c r="E53" s="11" t="s">
        <v>77</v>
      </c>
      <c r="F53" s="11" t="s">
        <v>41</v>
      </c>
      <c r="G53">
        <v>2000000</v>
      </c>
      <c r="H53" s="11" t="s">
        <v>40</v>
      </c>
      <c r="I53" s="11" t="s">
        <v>33</v>
      </c>
      <c r="J53" s="10">
        <v>45809</v>
      </c>
    </row>
    <row r="54" spans="1:10" x14ac:dyDescent="0.3">
      <c r="A54" s="10">
        <v>45933</v>
      </c>
      <c r="B54">
        <v>20220012735</v>
      </c>
      <c r="C54" s="11" t="s">
        <v>85</v>
      </c>
      <c r="D54" s="11" t="s">
        <v>81</v>
      </c>
      <c r="E54" s="11" t="s">
        <v>77</v>
      </c>
      <c r="F54" s="11" t="s">
        <v>9</v>
      </c>
      <c r="G54">
        <v>100000</v>
      </c>
      <c r="H54" s="11" t="s">
        <v>42</v>
      </c>
      <c r="I54" s="11" t="s">
        <v>33</v>
      </c>
      <c r="J54" s="10">
        <v>44958</v>
      </c>
    </row>
    <row r="55" spans="1:10" x14ac:dyDescent="0.3">
      <c r="A55" s="10">
        <v>45933</v>
      </c>
      <c r="B55">
        <v>20220012738</v>
      </c>
      <c r="C55" s="11" t="s">
        <v>85</v>
      </c>
      <c r="D55" s="11" t="s">
        <v>81</v>
      </c>
      <c r="E55" s="11" t="s">
        <v>77</v>
      </c>
      <c r="F55" s="11" t="s">
        <v>10</v>
      </c>
      <c r="G55">
        <v>300000</v>
      </c>
      <c r="H55" s="11" t="s">
        <v>46</v>
      </c>
      <c r="I55" s="11" t="s">
        <v>75</v>
      </c>
      <c r="J55" s="10">
        <v>44958</v>
      </c>
    </row>
    <row r="56" spans="1:10" x14ac:dyDescent="0.3">
      <c r="A56" s="10">
        <v>45934</v>
      </c>
      <c r="B56">
        <v>20220012741</v>
      </c>
      <c r="C56" s="11" t="s">
        <v>85</v>
      </c>
      <c r="D56" s="11" t="s">
        <v>81</v>
      </c>
      <c r="E56" s="11" t="s">
        <v>77</v>
      </c>
      <c r="F56" s="11" t="s">
        <v>56</v>
      </c>
      <c r="G56">
        <v>1000000</v>
      </c>
      <c r="H56" s="11" t="s">
        <v>57</v>
      </c>
      <c r="I56" s="11" t="s">
        <v>74</v>
      </c>
      <c r="J56" s="10">
        <v>45566</v>
      </c>
    </row>
    <row r="57" spans="1:10" x14ac:dyDescent="0.3">
      <c r="A57" s="10">
        <v>45934</v>
      </c>
      <c r="B57">
        <v>20220012744</v>
      </c>
      <c r="C57" s="11" t="s">
        <v>85</v>
      </c>
      <c r="D57" s="11" t="s">
        <v>81</v>
      </c>
      <c r="E57" s="11" t="s">
        <v>77</v>
      </c>
      <c r="F57" s="11" t="s">
        <v>6</v>
      </c>
      <c r="G57">
        <v>100000</v>
      </c>
      <c r="H57" s="11" t="s">
        <v>68</v>
      </c>
      <c r="I57" s="11" t="s">
        <v>33</v>
      </c>
      <c r="J57" s="10">
        <v>45505</v>
      </c>
    </row>
    <row r="58" spans="1:10" x14ac:dyDescent="0.3">
      <c r="A58" s="10">
        <v>45934</v>
      </c>
      <c r="B58">
        <v>20220012747</v>
      </c>
      <c r="C58" s="11" t="s">
        <v>85</v>
      </c>
      <c r="D58" s="11" t="s">
        <v>82</v>
      </c>
      <c r="E58" s="11" t="s">
        <v>77</v>
      </c>
      <c r="F58" s="11" t="s">
        <v>7</v>
      </c>
      <c r="G58">
        <v>500000</v>
      </c>
      <c r="H58" s="11" t="s">
        <v>47</v>
      </c>
      <c r="I58" s="11" t="s">
        <v>33</v>
      </c>
      <c r="J58" s="10">
        <v>44958</v>
      </c>
    </row>
    <row r="59" spans="1:10" x14ac:dyDescent="0.3">
      <c r="A59" s="10">
        <v>45934</v>
      </c>
      <c r="B59">
        <v>20220012750</v>
      </c>
      <c r="C59" s="11" t="s">
        <v>85</v>
      </c>
      <c r="D59" s="11" t="s">
        <v>82</v>
      </c>
      <c r="E59" s="11" t="s">
        <v>77</v>
      </c>
      <c r="F59" s="11" t="s">
        <v>7</v>
      </c>
      <c r="G59">
        <v>100000</v>
      </c>
      <c r="H59" s="11" t="s">
        <v>47</v>
      </c>
      <c r="I59" s="11" t="s">
        <v>33</v>
      </c>
      <c r="J59" s="10">
        <v>44958</v>
      </c>
    </row>
    <row r="60" spans="1:10" x14ac:dyDescent="0.3">
      <c r="A60" s="10">
        <v>45934</v>
      </c>
      <c r="B60">
        <v>20220012753</v>
      </c>
      <c r="C60" s="11" t="s">
        <v>85</v>
      </c>
      <c r="D60" s="11" t="s">
        <v>81</v>
      </c>
      <c r="E60" s="11" t="s">
        <v>77</v>
      </c>
      <c r="F60" s="11" t="s">
        <v>7</v>
      </c>
      <c r="G60">
        <v>600000</v>
      </c>
      <c r="H60" s="11" t="s">
        <v>47</v>
      </c>
      <c r="I60" s="11" t="s">
        <v>33</v>
      </c>
      <c r="J60" s="10">
        <v>44958</v>
      </c>
    </row>
    <row r="61" spans="1:10" x14ac:dyDescent="0.3">
      <c r="A61" s="10">
        <v>45934</v>
      </c>
      <c r="B61">
        <v>20220012756</v>
      </c>
      <c r="C61" s="11" t="s">
        <v>85</v>
      </c>
      <c r="D61" s="11" t="s">
        <v>81</v>
      </c>
      <c r="E61" s="11" t="s">
        <v>77</v>
      </c>
      <c r="F61" s="11" t="s">
        <v>41</v>
      </c>
      <c r="G61">
        <v>600000</v>
      </c>
      <c r="H61" s="11" t="s">
        <v>40</v>
      </c>
      <c r="I61" s="11" t="s">
        <v>33</v>
      </c>
      <c r="J61" s="10">
        <v>45809</v>
      </c>
    </row>
    <row r="62" spans="1:10" x14ac:dyDescent="0.3">
      <c r="A62" s="10">
        <v>45934</v>
      </c>
      <c r="B62">
        <v>20220012759</v>
      </c>
      <c r="C62" s="11" t="s">
        <v>85</v>
      </c>
      <c r="D62" s="11" t="s">
        <v>81</v>
      </c>
      <c r="E62" s="11" t="s">
        <v>77</v>
      </c>
      <c r="F62" s="11" t="s">
        <v>6</v>
      </c>
      <c r="G62">
        <v>250000</v>
      </c>
      <c r="H62" s="11" t="s">
        <v>68</v>
      </c>
      <c r="I62" s="11" t="s">
        <v>33</v>
      </c>
      <c r="J62" s="10">
        <v>45505</v>
      </c>
    </row>
    <row r="63" spans="1:10" x14ac:dyDescent="0.3">
      <c r="A63" s="10">
        <v>45934</v>
      </c>
      <c r="B63">
        <v>20220012762</v>
      </c>
      <c r="C63" s="11" t="s">
        <v>85</v>
      </c>
      <c r="D63" s="11" t="s">
        <v>81</v>
      </c>
      <c r="E63" s="11" t="s">
        <v>77</v>
      </c>
      <c r="F63" s="11" t="s">
        <v>6</v>
      </c>
      <c r="G63">
        <v>250000</v>
      </c>
      <c r="H63" s="11" t="s">
        <v>68</v>
      </c>
      <c r="I63" s="11" t="s">
        <v>33</v>
      </c>
      <c r="J63" s="10">
        <v>45505</v>
      </c>
    </row>
    <row r="64" spans="1:10" x14ac:dyDescent="0.3">
      <c r="A64" s="10">
        <v>45934</v>
      </c>
      <c r="B64">
        <v>20220012765</v>
      </c>
      <c r="C64" s="11" t="s">
        <v>85</v>
      </c>
      <c r="D64" s="11" t="s">
        <v>82</v>
      </c>
      <c r="E64" s="11" t="s">
        <v>77</v>
      </c>
      <c r="F64" s="11" t="s">
        <v>44</v>
      </c>
      <c r="G64">
        <v>100000</v>
      </c>
      <c r="H64" s="11" t="s">
        <v>43</v>
      </c>
      <c r="I64" s="11" t="s">
        <v>33</v>
      </c>
      <c r="J64" s="10">
        <v>45901</v>
      </c>
    </row>
    <row r="65" spans="1:10" x14ac:dyDescent="0.3">
      <c r="A65" s="10">
        <v>45934</v>
      </c>
      <c r="B65">
        <v>20220012768</v>
      </c>
      <c r="C65" s="11" t="s">
        <v>85</v>
      </c>
      <c r="D65" s="11" t="s">
        <v>82</v>
      </c>
      <c r="E65" s="11" t="s">
        <v>77</v>
      </c>
      <c r="F65" s="11" t="s">
        <v>41</v>
      </c>
      <c r="G65">
        <v>1000000</v>
      </c>
      <c r="H65" s="11" t="s">
        <v>40</v>
      </c>
      <c r="I65" s="11" t="s">
        <v>33</v>
      </c>
      <c r="J65" s="10">
        <v>45809</v>
      </c>
    </row>
    <row r="66" spans="1:10" x14ac:dyDescent="0.3">
      <c r="A66" s="10">
        <v>45934</v>
      </c>
      <c r="B66">
        <v>20220012771</v>
      </c>
      <c r="C66" s="11" t="s">
        <v>85</v>
      </c>
      <c r="D66" s="11" t="s">
        <v>81</v>
      </c>
      <c r="E66" s="11" t="s">
        <v>77</v>
      </c>
      <c r="F66" s="11" t="s">
        <v>16</v>
      </c>
      <c r="G66">
        <v>350000</v>
      </c>
      <c r="H66" s="11" t="s">
        <v>37</v>
      </c>
      <c r="I66" s="11" t="s">
        <v>74</v>
      </c>
      <c r="J66" s="10">
        <v>45566</v>
      </c>
    </row>
    <row r="67" spans="1:10" x14ac:dyDescent="0.3">
      <c r="A67" s="10">
        <v>45934</v>
      </c>
      <c r="B67">
        <v>20220012774</v>
      </c>
      <c r="C67" s="11" t="s">
        <v>85</v>
      </c>
      <c r="D67" s="11" t="s">
        <v>81</v>
      </c>
      <c r="E67" s="11" t="s">
        <v>77</v>
      </c>
      <c r="F67" s="11" t="s">
        <v>64</v>
      </c>
      <c r="G67">
        <v>1350000</v>
      </c>
      <c r="H67" s="11" t="s">
        <v>65</v>
      </c>
      <c r="I67" s="11" t="s">
        <v>33</v>
      </c>
      <c r="J67" s="10">
        <v>45748</v>
      </c>
    </row>
    <row r="68" spans="1:10" x14ac:dyDescent="0.3">
      <c r="A68" s="10">
        <v>45934</v>
      </c>
      <c r="B68">
        <v>20220012777</v>
      </c>
      <c r="C68" s="11" t="s">
        <v>85</v>
      </c>
      <c r="D68" s="11" t="s">
        <v>80</v>
      </c>
      <c r="E68" s="11" t="s">
        <v>77</v>
      </c>
      <c r="F68" s="11" t="s">
        <v>6</v>
      </c>
      <c r="G68">
        <v>600000</v>
      </c>
      <c r="H68" s="11" t="s">
        <v>68</v>
      </c>
      <c r="I68" s="11" t="s">
        <v>33</v>
      </c>
      <c r="J68" s="10">
        <v>45505</v>
      </c>
    </row>
    <row r="69" spans="1:10" x14ac:dyDescent="0.3">
      <c r="A69" s="10">
        <v>45934</v>
      </c>
      <c r="B69">
        <v>20220012780</v>
      </c>
      <c r="C69" s="11" t="s">
        <v>85</v>
      </c>
      <c r="D69" s="11" t="s">
        <v>80</v>
      </c>
      <c r="E69" s="11" t="s">
        <v>77</v>
      </c>
      <c r="F69" s="11" t="s">
        <v>6</v>
      </c>
      <c r="G69">
        <v>600000</v>
      </c>
      <c r="H69" s="11" t="s">
        <v>68</v>
      </c>
      <c r="I69" s="11" t="s">
        <v>33</v>
      </c>
      <c r="J69" s="10">
        <v>45505</v>
      </c>
    </row>
    <row r="70" spans="1:10" x14ac:dyDescent="0.3">
      <c r="A70" s="10">
        <v>45934</v>
      </c>
      <c r="B70">
        <v>20220012783</v>
      </c>
      <c r="C70" s="11" t="s">
        <v>85</v>
      </c>
      <c r="D70" s="11" t="s">
        <v>82</v>
      </c>
      <c r="E70" s="11" t="s">
        <v>77</v>
      </c>
      <c r="F70" s="11" t="s">
        <v>8</v>
      </c>
      <c r="G70">
        <v>1000000</v>
      </c>
      <c r="H70" s="11" t="s">
        <v>32</v>
      </c>
      <c r="I70" s="11" t="s">
        <v>33</v>
      </c>
      <c r="J70" s="10">
        <v>45383</v>
      </c>
    </row>
    <row r="71" spans="1:10" x14ac:dyDescent="0.3">
      <c r="A71" s="10">
        <v>45934</v>
      </c>
      <c r="B71">
        <v>20220012786</v>
      </c>
      <c r="C71" s="11" t="s">
        <v>85</v>
      </c>
      <c r="D71" s="11" t="s">
        <v>82</v>
      </c>
      <c r="E71" s="11" t="s">
        <v>77</v>
      </c>
      <c r="F71" s="11" t="s">
        <v>8</v>
      </c>
      <c r="G71">
        <v>100000</v>
      </c>
      <c r="H71" s="11" t="s">
        <v>32</v>
      </c>
      <c r="I71" s="11" t="s">
        <v>33</v>
      </c>
      <c r="J71" s="10">
        <v>45383</v>
      </c>
    </row>
    <row r="72" spans="1:10" x14ac:dyDescent="0.3">
      <c r="A72" s="10">
        <v>45934</v>
      </c>
      <c r="B72">
        <v>20220012789</v>
      </c>
      <c r="C72" s="11" t="s">
        <v>85</v>
      </c>
      <c r="D72" s="11" t="s">
        <v>82</v>
      </c>
      <c r="E72" s="11" t="s">
        <v>77</v>
      </c>
      <c r="F72" s="11" t="s">
        <v>41</v>
      </c>
      <c r="G72">
        <v>100000</v>
      </c>
      <c r="H72" s="11" t="s">
        <v>40</v>
      </c>
      <c r="I72" s="11" t="s">
        <v>33</v>
      </c>
      <c r="J72" s="10">
        <v>45809</v>
      </c>
    </row>
    <row r="73" spans="1:10" x14ac:dyDescent="0.3">
      <c r="A73" s="10">
        <v>45934</v>
      </c>
      <c r="B73">
        <v>20220012792</v>
      </c>
      <c r="C73" s="11" t="s">
        <v>85</v>
      </c>
      <c r="D73" s="11" t="s">
        <v>82</v>
      </c>
      <c r="E73" s="11" t="s">
        <v>77</v>
      </c>
      <c r="F73" s="11" t="s">
        <v>44</v>
      </c>
      <c r="G73">
        <v>1000000</v>
      </c>
      <c r="H73" s="11" t="s">
        <v>43</v>
      </c>
      <c r="I73" s="11" t="s">
        <v>33</v>
      </c>
      <c r="J73" s="10">
        <v>45901</v>
      </c>
    </row>
    <row r="74" spans="1:10" x14ac:dyDescent="0.3">
      <c r="A74" s="10">
        <v>45934</v>
      </c>
      <c r="B74">
        <v>20220012801</v>
      </c>
      <c r="C74" s="11" t="s">
        <v>85</v>
      </c>
      <c r="D74" s="11" t="s">
        <v>82</v>
      </c>
      <c r="E74" s="11" t="s">
        <v>77</v>
      </c>
      <c r="F74" s="11" t="s">
        <v>41</v>
      </c>
      <c r="G74">
        <v>100000</v>
      </c>
      <c r="H74" s="11" t="s">
        <v>40</v>
      </c>
      <c r="I74" s="11" t="s">
        <v>33</v>
      </c>
      <c r="J74" s="10">
        <v>45809</v>
      </c>
    </row>
    <row r="75" spans="1:10" x14ac:dyDescent="0.3">
      <c r="A75" s="10">
        <v>45934</v>
      </c>
      <c r="B75">
        <v>20220012804</v>
      </c>
      <c r="C75" s="11" t="s">
        <v>85</v>
      </c>
      <c r="D75" s="11" t="s">
        <v>82</v>
      </c>
      <c r="E75" s="11" t="s">
        <v>77</v>
      </c>
      <c r="F75" s="11" t="s">
        <v>8</v>
      </c>
      <c r="G75">
        <v>500000</v>
      </c>
      <c r="H75" s="11" t="s">
        <v>32</v>
      </c>
      <c r="I75" s="11" t="s">
        <v>33</v>
      </c>
      <c r="J75" s="10">
        <v>45383</v>
      </c>
    </row>
    <row r="76" spans="1:10" x14ac:dyDescent="0.3">
      <c r="A76" s="10">
        <v>45934</v>
      </c>
      <c r="B76">
        <v>20220012813</v>
      </c>
      <c r="C76" s="11" t="s">
        <v>85</v>
      </c>
      <c r="D76" s="11" t="s">
        <v>81</v>
      </c>
      <c r="E76" s="11" t="s">
        <v>77</v>
      </c>
      <c r="F76" s="11" t="s">
        <v>13</v>
      </c>
      <c r="G76">
        <v>100000</v>
      </c>
      <c r="H76" s="11" t="s">
        <v>21</v>
      </c>
      <c r="I76" s="11" t="s">
        <v>75</v>
      </c>
      <c r="J76" s="10">
        <v>45383</v>
      </c>
    </row>
    <row r="77" spans="1:10" x14ac:dyDescent="0.3">
      <c r="A77" s="10">
        <v>45934</v>
      </c>
      <c r="B77">
        <v>20220012816</v>
      </c>
      <c r="C77" s="11" t="s">
        <v>85</v>
      </c>
      <c r="D77" s="11" t="s">
        <v>81</v>
      </c>
      <c r="E77" s="11" t="s">
        <v>77</v>
      </c>
      <c r="F77" s="11" t="s">
        <v>13</v>
      </c>
      <c r="G77">
        <v>1000000</v>
      </c>
      <c r="H77" s="11" t="s">
        <v>21</v>
      </c>
      <c r="I77" s="11" t="s">
        <v>75</v>
      </c>
      <c r="J77" s="10">
        <v>45383</v>
      </c>
    </row>
    <row r="78" spans="1:10" x14ac:dyDescent="0.3">
      <c r="A78" s="10">
        <v>45934</v>
      </c>
      <c r="B78">
        <v>20220012819</v>
      </c>
      <c r="C78" s="11" t="s">
        <v>85</v>
      </c>
      <c r="D78" s="11" t="s">
        <v>81</v>
      </c>
      <c r="E78" s="11" t="s">
        <v>77</v>
      </c>
      <c r="F78" s="11" t="s">
        <v>13</v>
      </c>
      <c r="G78">
        <v>1000000</v>
      </c>
      <c r="H78" s="11" t="s">
        <v>21</v>
      </c>
      <c r="I78" s="11" t="s">
        <v>75</v>
      </c>
      <c r="J78" s="10">
        <v>45383</v>
      </c>
    </row>
    <row r="79" spans="1:10" x14ac:dyDescent="0.3">
      <c r="A79" s="10">
        <v>45934</v>
      </c>
      <c r="B79">
        <v>20220012822</v>
      </c>
      <c r="C79" s="11" t="s">
        <v>85</v>
      </c>
      <c r="D79" s="11" t="s">
        <v>81</v>
      </c>
      <c r="E79" s="11" t="s">
        <v>77</v>
      </c>
      <c r="F79" s="11" t="s">
        <v>13</v>
      </c>
      <c r="G79">
        <v>1000000</v>
      </c>
      <c r="H79" s="11" t="s">
        <v>21</v>
      </c>
      <c r="I79" s="11" t="s">
        <v>75</v>
      </c>
      <c r="J79" s="10">
        <v>45383</v>
      </c>
    </row>
    <row r="80" spans="1:10" x14ac:dyDescent="0.3">
      <c r="A80" s="10">
        <v>45934</v>
      </c>
      <c r="B80">
        <v>20220012825</v>
      </c>
      <c r="C80" s="11" t="s">
        <v>85</v>
      </c>
      <c r="D80" s="11" t="s">
        <v>82</v>
      </c>
      <c r="E80" s="11" t="s">
        <v>77</v>
      </c>
      <c r="F80" s="11" t="s">
        <v>44</v>
      </c>
      <c r="G80">
        <v>1000000</v>
      </c>
      <c r="H80" s="11" t="s">
        <v>43</v>
      </c>
      <c r="I80" s="11" t="s">
        <v>33</v>
      </c>
      <c r="J80" s="10">
        <v>45901</v>
      </c>
    </row>
    <row r="81" spans="1:10" x14ac:dyDescent="0.3">
      <c r="A81" s="10">
        <v>45934</v>
      </c>
      <c r="B81">
        <v>20220012831</v>
      </c>
      <c r="C81" s="11" t="s">
        <v>85</v>
      </c>
      <c r="D81" s="11" t="s">
        <v>82</v>
      </c>
      <c r="E81" s="11" t="s">
        <v>77</v>
      </c>
      <c r="F81" s="11" t="s">
        <v>29</v>
      </c>
      <c r="G81">
        <v>250000</v>
      </c>
      <c r="H81" s="11" t="s">
        <v>28</v>
      </c>
      <c r="I81" s="11" t="s">
        <v>75</v>
      </c>
      <c r="J81" s="10">
        <v>45717</v>
      </c>
    </row>
    <row r="82" spans="1:10" x14ac:dyDescent="0.3">
      <c r="A82" s="10">
        <v>45934</v>
      </c>
      <c r="B82">
        <v>20220012834</v>
      </c>
      <c r="C82" s="11" t="s">
        <v>85</v>
      </c>
      <c r="D82" s="11" t="s">
        <v>82</v>
      </c>
      <c r="E82" s="11" t="s">
        <v>77</v>
      </c>
      <c r="F82" s="11" t="s">
        <v>29</v>
      </c>
      <c r="G82">
        <v>250000</v>
      </c>
      <c r="H82" s="11" t="s">
        <v>28</v>
      </c>
      <c r="I82" s="11" t="s">
        <v>75</v>
      </c>
      <c r="J82" s="10">
        <v>45717</v>
      </c>
    </row>
    <row r="83" spans="1:10" x14ac:dyDescent="0.3">
      <c r="A83" s="10">
        <v>45934</v>
      </c>
      <c r="B83">
        <v>20220012837</v>
      </c>
      <c r="C83" s="11" t="s">
        <v>85</v>
      </c>
      <c r="D83" s="11" t="s">
        <v>81</v>
      </c>
      <c r="E83" s="11" t="s">
        <v>77</v>
      </c>
      <c r="F83" s="11" t="s">
        <v>60</v>
      </c>
      <c r="G83">
        <v>1000000</v>
      </c>
      <c r="H83" s="11" t="s">
        <v>61</v>
      </c>
      <c r="I83" s="11" t="s">
        <v>75</v>
      </c>
      <c r="J83" s="10">
        <v>45748</v>
      </c>
    </row>
    <row r="84" spans="1:10" x14ac:dyDescent="0.3">
      <c r="A84" s="10">
        <v>45934</v>
      </c>
      <c r="B84">
        <v>20220012840</v>
      </c>
      <c r="C84" s="11" t="s">
        <v>85</v>
      </c>
      <c r="D84" s="11" t="s">
        <v>81</v>
      </c>
      <c r="E84" s="11" t="s">
        <v>77</v>
      </c>
      <c r="F84" s="11" t="s">
        <v>60</v>
      </c>
      <c r="G84">
        <v>100000</v>
      </c>
      <c r="H84" s="11" t="s">
        <v>61</v>
      </c>
      <c r="I84" s="11" t="s">
        <v>75</v>
      </c>
      <c r="J84" s="10">
        <v>45748</v>
      </c>
    </row>
    <row r="85" spans="1:10" x14ac:dyDescent="0.3">
      <c r="A85" s="10">
        <v>45934</v>
      </c>
      <c r="B85">
        <v>20220012843</v>
      </c>
      <c r="C85" s="11" t="s">
        <v>85</v>
      </c>
      <c r="D85" s="11" t="s">
        <v>80</v>
      </c>
      <c r="E85" s="11" t="s">
        <v>77</v>
      </c>
      <c r="F85" s="11" t="s">
        <v>6</v>
      </c>
      <c r="G85">
        <v>1250000</v>
      </c>
      <c r="H85" s="11" t="s">
        <v>68</v>
      </c>
      <c r="I85" s="11" t="s">
        <v>33</v>
      </c>
      <c r="J85" s="10">
        <v>45505</v>
      </c>
    </row>
    <row r="86" spans="1:10" x14ac:dyDescent="0.3">
      <c r="A86" s="10">
        <v>45934</v>
      </c>
      <c r="B86">
        <v>20220012846</v>
      </c>
      <c r="C86" s="11" t="s">
        <v>85</v>
      </c>
      <c r="D86" s="11" t="s">
        <v>80</v>
      </c>
      <c r="E86" s="11" t="s">
        <v>77</v>
      </c>
      <c r="F86" s="11" t="s">
        <v>6</v>
      </c>
      <c r="G86">
        <v>250000</v>
      </c>
      <c r="H86" s="11" t="s">
        <v>68</v>
      </c>
      <c r="I86" s="11" t="s">
        <v>33</v>
      </c>
      <c r="J86" s="10">
        <v>45505</v>
      </c>
    </row>
    <row r="87" spans="1:10" x14ac:dyDescent="0.3">
      <c r="A87" s="10">
        <v>45934</v>
      </c>
      <c r="B87">
        <v>20220012849</v>
      </c>
      <c r="C87" s="11" t="s">
        <v>85</v>
      </c>
      <c r="D87" s="11" t="s">
        <v>82</v>
      </c>
      <c r="E87" s="11" t="s">
        <v>77</v>
      </c>
      <c r="F87" s="11" t="s">
        <v>16</v>
      </c>
      <c r="G87">
        <v>600000</v>
      </c>
      <c r="H87" s="11" t="s">
        <v>37</v>
      </c>
      <c r="I87" s="11" t="s">
        <v>74</v>
      </c>
      <c r="J87" s="10">
        <v>45566</v>
      </c>
    </row>
    <row r="88" spans="1:10" x14ac:dyDescent="0.3">
      <c r="A88" s="10">
        <v>45934</v>
      </c>
      <c r="B88">
        <v>20220012852</v>
      </c>
      <c r="C88" s="11" t="s">
        <v>85</v>
      </c>
      <c r="D88" s="11" t="s">
        <v>82</v>
      </c>
      <c r="E88" s="11" t="s">
        <v>77</v>
      </c>
      <c r="F88" s="11" t="s">
        <v>13</v>
      </c>
      <c r="G88">
        <v>600000</v>
      </c>
      <c r="H88" s="11" t="s">
        <v>21</v>
      </c>
      <c r="I88" s="11" t="s">
        <v>75</v>
      </c>
      <c r="J88" s="10">
        <v>45383</v>
      </c>
    </row>
    <row r="89" spans="1:10" x14ac:dyDescent="0.3">
      <c r="A89" s="10">
        <v>45934</v>
      </c>
      <c r="B89">
        <v>20220012855</v>
      </c>
      <c r="C89" s="11" t="s">
        <v>85</v>
      </c>
      <c r="D89" s="11" t="s">
        <v>81</v>
      </c>
      <c r="E89" s="11" t="s">
        <v>77</v>
      </c>
      <c r="F89" s="11" t="s">
        <v>13</v>
      </c>
      <c r="G89">
        <v>1000000</v>
      </c>
      <c r="H89" s="11" t="s">
        <v>21</v>
      </c>
      <c r="I89" s="11" t="s">
        <v>75</v>
      </c>
      <c r="J89" s="10">
        <v>45383</v>
      </c>
    </row>
    <row r="90" spans="1:10" x14ac:dyDescent="0.3">
      <c r="A90" s="10">
        <v>45934</v>
      </c>
      <c r="B90">
        <v>20220012858</v>
      </c>
      <c r="C90" s="11" t="s">
        <v>85</v>
      </c>
      <c r="D90" s="11" t="s">
        <v>81</v>
      </c>
      <c r="E90" s="11" t="s">
        <v>77</v>
      </c>
      <c r="F90" s="11" t="s">
        <v>13</v>
      </c>
      <c r="G90">
        <v>100000</v>
      </c>
      <c r="H90" s="11" t="s">
        <v>21</v>
      </c>
      <c r="I90" s="11" t="s">
        <v>75</v>
      </c>
      <c r="J90" s="10">
        <v>45383</v>
      </c>
    </row>
    <row r="91" spans="1:10" x14ac:dyDescent="0.3">
      <c r="A91" s="10">
        <v>45934</v>
      </c>
      <c r="B91">
        <v>20220012861</v>
      </c>
      <c r="C91" s="11" t="s">
        <v>85</v>
      </c>
      <c r="D91" s="11" t="s">
        <v>81</v>
      </c>
      <c r="E91" s="11" t="s">
        <v>77</v>
      </c>
      <c r="F91" s="11" t="s">
        <v>4</v>
      </c>
      <c r="G91">
        <v>100000</v>
      </c>
      <c r="H91" s="11" t="s">
        <v>34</v>
      </c>
      <c r="I91" s="11" t="s">
        <v>74</v>
      </c>
      <c r="J91" s="10">
        <v>45536</v>
      </c>
    </row>
    <row r="92" spans="1:10" x14ac:dyDescent="0.3">
      <c r="A92" s="10">
        <v>45934</v>
      </c>
      <c r="B92">
        <v>20220012864</v>
      </c>
      <c r="C92" s="11" t="s">
        <v>85</v>
      </c>
      <c r="D92" s="11" t="s">
        <v>81</v>
      </c>
      <c r="E92" s="11" t="s">
        <v>77</v>
      </c>
      <c r="F92" s="11" t="s">
        <v>4</v>
      </c>
      <c r="G92">
        <v>100000</v>
      </c>
      <c r="H92" s="11" t="s">
        <v>34</v>
      </c>
      <c r="I92" s="11" t="s">
        <v>74</v>
      </c>
      <c r="J92" s="10">
        <v>45536</v>
      </c>
    </row>
    <row r="93" spans="1:10" x14ac:dyDescent="0.3">
      <c r="A93" s="10">
        <v>45934</v>
      </c>
      <c r="B93">
        <v>20220012873</v>
      </c>
      <c r="C93" s="11" t="s">
        <v>85</v>
      </c>
      <c r="D93" s="11" t="s">
        <v>81</v>
      </c>
      <c r="E93" s="11" t="s">
        <v>77</v>
      </c>
      <c r="F93" s="11" t="s">
        <v>4</v>
      </c>
      <c r="G93">
        <v>1000000</v>
      </c>
      <c r="H93" s="11" t="s">
        <v>34</v>
      </c>
      <c r="I93" s="11" t="s">
        <v>74</v>
      </c>
      <c r="J93" s="10">
        <v>45536</v>
      </c>
    </row>
    <row r="94" spans="1:10" x14ac:dyDescent="0.3">
      <c r="A94" s="10">
        <v>45934</v>
      </c>
      <c r="B94">
        <v>20220012876</v>
      </c>
      <c r="C94" s="11" t="s">
        <v>85</v>
      </c>
      <c r="D94" s="11" t="s">
        <v>81</v>
      </c>
      <c r="E94" s="11" t="s">
        <v>77</v>
      </c>
      <c r="F94" s="11" t="s">
        <v>4</v>
      </c>
      <c r="G94">
        <v>100000</v>
      </c>
      <c r="H94" s="11" t="s">
        <v>34</v>
      </c>
      <c r="I94" s="11" t="s">
        <v>74</v>
      </c>
      <c r="J94" s="10">
        <v>45536</v>
      </c>
    </row>
    <row r="95" spans="1:10" x14ac:dyDescent="0.3">
      <c r="A95" s="10">
        <v>45934</v>
      </c>
      <c r="B95">
        <v>20220012879</v>
      </c>
      <c r="C95" s="11" t="s">
        <v>85</v>
      </c>
      <c r="D95" s="11" t="s">
        <v>82</v>
      </c>
      <c r="E95" s="11" t="s">
        <v>77</v>
      </c>
      <c r="F95" s="11" t="s">
        <v>4</v>
      </c>
      <c r="G95">
        <v>100000</v>
      </c>
      <c r="H95" s="11" t="s">
        <v>34</v>
      </c>
      <c r="I95" s="11" t="s">
        <v>74</v>
      </c>
      <c r="J95" s="10">
        <v>45536</v>
      </c>
    </row>
    <row r="96" spans="1:10" x14ac:dyDescent="0.3">
      <c r="A96" s="10">
        <v>45934</v>
      </c>
      <c r="B96">
        <v>20220012882</v>
      </c>
      <c r="C96" s="11" t="s">
        <v>85</v>
      </c>
      <c r="D96" s="11" t="s">
        <v>82</v>
      </c>
      <c r="E96" s="11" t="s">
        <v>77</v>
      </c>
      <c r="F96" s="11" t="s">
        <v>4</v>
      </c>
      <c r="G96">
        <v>100000</v>
      </c>
      <c r="H96" s="11" t="s">
        <v>34</v>
      </c>
      <c r="I96" s="11" t="s">
        <v>74</v>
      </c>
      <c r="J96" s="10">
        <v>45536</v>
      </c>
    </row>
    <row r="97" spans="1:10" x14ac:dyDescent="0.3">
      <c r="A97" s="10">
        <v>45934</v>
      </c>
      <c r="B97">
        <v>20220012885</v>
      </c>
      <c r="C97" s="11" t="s">
        <v>85</v>
      </c>
      <c r="D97" s="11" t="s">
        <v>80</v>
      </c>
      <c r="E97" s="11" t="s">
        <v>77</v>
      </c>
      <c r="F97" s="11" t="s">
        <v>18</v>
      </c>
      <c r="G97">
        <v>250000</v>
      </c>
      <c r="H97" s="11" t="s">
        <v>35</v>
      </c>
      <c r="I97" s="11" t="s">
        <v>74</v>
      </c>
      <c r="J97" s="10">
        <v>45809</v>
      </c>
    </row>
    <row r="98" spans="1:10" x14ac:dyDescent="0.3">
      <c r="A98" s="10">
        <v>45934</v>
      </c>
      <c r="B98">
        <v>20220012888</v>
      </c>
      <c r="C98" s="11" t="s">
        <v>85</v>
      </c>
      <c r="D98" s="11" t="s">
        <v>80</v>
      </c>
      <c r="E98" s="11" t="s">
        <v>77</v>
      </c>
      <c r="F98" s="11" t="s">
        <v>18</v>
      </c>
      <c r="G98">
        <v>250000</v>
      </c>
      <c r="H98" s="11" t="s">
        <v>35</v>
      </c>
      <c r="I98" s="11" t="s">
        <v>74</v>
      </c>
      <c r="J98" s="10">
        <v>45809</v>
      </c>
    </row>
    <row r="99" spans="1:10" x14ac:dyDescent="0.3">
      <c r="A99" s="10">
        <v>45934</v>
      </c>
      <c r="B99">
        <v>20220012891</v>
      </c>
      <c r="C99" s="11" t="s">
        <v>85</v>
      </c>
      <c r="D99" s="11" t="s">
        <v>82</v>
      </c>
      <c r="E99" s="11" t="s">
        <v>77</v>
      </c>
      <c r="F99" s="11" t="s">
        <v>6</v>
      </c>
      <c r="G99">
        <v>1500000</v>
      </c>
      <c r="H99" s="11" t="s">
        <v>68</v>
      </c>
      <c r="I99" s="11" t="s">
        <v>33</v>
      </c>
      <c r="J99" s="10">
        <v>45505</v>
      </c>
    </row>
    <row r="100" spans="1:10" x14ac:dyDescent="0.3">
      <c r="A100" s="10">
        <v>45934</v>
      </c>
      <c r="B100">
        <v>20220012894</v>
      </c>
      <c r="C100" s="11" t="s">
        <v>85</v>
      </c>
      <c r="D100" s="11" t="s">
        <v>82</v>
      </c>
      <c r="E100" s="11" t="s">
        <v>77</v>
      </c>
      <c r="F100" s="11" t="s">
        <v>6</v>
      </c>
      <c r="G100">
        <v>100000</v>
      </c>
      <c r="H100" s="11" t="s">
        <v>68</v>
      </c>
      <c r="I100" s="11" t="s">
        <v>33</v>
      </c>
      <c r="J100" s="10">
        <v>45505</v>
      </c>
    </row>
    <row r="101" spans="1:10" x14ac:dyDescent="0.3">
      <c r="A101" s="10">
        <v>45934</v>
      </c>
      <c r="B101">
        <v>20220012909</v>
      </c>
      <c r="C101" s="11" t="s">
        <v>85</v>
      </c>
      <c r="D101" s="11" t="s">
        <v>82</v>
      </c>
      <c r="E101" s="11" t="s">
        <v>77</v>
      </c>
      <c r="F101" s="11" t="s">
        <v>64</v>
      </c>
      <c r="G101">
        <v>100000</v>
      </c>
      <c r="H101" s="11" t="s">
        <v>65</v>
      </c>
      <c r="I101" s="11" t="s">
        <v>33</v>
      </c>
      <c r="J101" s="10">
        <v>45748</v>
      </c>
    </row>
    <row r="102" spans="1:10" x14ac:dyDescent="0.3">
      <c r="A102" s="10">
        <v>45934</v>
      </c>
      <c r="B102">
        <v>20220012912</v>
      </c>
      <c r="C102" s="11" t="s">
        <v>85</v>
      </c>
      <c r="D102" s="11" t="s">
        <v>82</v>
      </c>
      <c r="E102" s="11" t="s">
        <v>77</v>
      </c>
      <c r="F102" s="11" t="s">
        <v>64</v>
      </c>
      <c r="G102">
        <v>1000000</v>
      </c>
      <c r="H102" s="11" t="s">
        <v>65</v>
      </c>
      <c r="I102" s="11" t="s">
        <v>33</v>
      </c>
      <c r="J102" s="10">
        <v>45748</v>
      </c>
    </row>
    <row r="103" spans="1:10" x14ac:dyDescent="0.3">
      <c r="A103" s="10">
        <v>45934</v>
      </c>
      <c r="B103">
        <v>20220012921</v>
      </c>
      <c r="C103" s="11" t="s">
        <v>85</v>
      </c>
      <c r="D103" s="11" t="s">
        <v>81</v>
      </c>
      <c r="E103" s="11" t="s">
        <v>77</v>
      </c>
      <c r="F103" s="11" t="s">
        <v>64</v>
      </c>
      <c r="G103">
        <v>1000000</v>
      </c>
      <c r="H103" s="11" t="s">
        <v>65</v>
      </c>
      <c r="I103" s="11" t="s">
        <v>33</v>
      </c>
      <c r="J103" s="10">
        <v>45748</v>
      </c>
    </row>
    <row r="104" spans="1:10" x14ac:dyDescent="0.3">
      <c r="A104" s="10">
        <v>45934</v>
      </c>
      <c r="B104">
        <v>20220012924</v>
      </c>
      <c r="C104" s="11" t="s">
        <v>85</v>
      </c>
      <c r="D104" s="11" t="s">
        <v>81</v>
      </c>
      <c r="E104" s="11" t="s">
        <v>77</v>
      </c>
      <c r="F104" s="11" t="s">
        <v>64</v>
      </c>
      <c r="G104">
        <v>1000000</v>
      </c>
      <c r="H104" s="11" t="s">
        <v>65</v>
      </c>
      <c r="I104" s="11" t="s">
        <v>33</v>
      </c>
      <c r="J104" s="10">
        <v>45748</v>
      </c>
    </row>
    <row r="105" spans="1:10" x14ac:dyDescent="0.3">
      <c r="A105" s="10">
        <v>45934</v>
      </c>
      <c r="B105">
        <v>20220012927</v>
      </c>
      <c r="C105" s="11" t="s">
        <v>85</v>
      </c>
      <c r="D105" s="11" t="s">
        <v>81</v>
      </c>
      <c r="E105" s="11" t="s">
        <v>77</v>
      </c>
      <c r="F105" s="11" t="s">
        <v>64</v>
      </c>
      <c r="G105">
        <v>200000</v>
      </c>
      <c r="H105" s="11" t="s">
        <v>65</v>
      </c>
      <c r="I105" s="11" t="s">
        <v>33</v>
      </c>
      <c r="J105" s="10">
        <v>45748</v>
      </c>
    </row>
    <row r="106" spans="1:10" x14ac:dyDescent="0.3">
      <c r="A106" s="10">
        <v>45934</v>
      </c>
      <c r="B106">
        <v>20220012930</v>
      </c>
      <c r="C106" s="11" t="s">
        <v>85</v>
      </c>
      <c r="D106" s="11" t="s">
        <v>81</v>
      </c>
      <c r="E106" s="11" t="s">
        <v>77</v>
      </c>
      <c r="F106" s="11" t="s">
        <v>64</v>
      </c>
      <c r="G106">
        <v>1000000</v>
      </c>
      <c r="H106" s="11" t="s">
        <v>65</v>
      </c>
      <c r="I106" s="11" t="s">
        <v>33</v>
      </c>
      <c r="J106" s="10">
        <v>45748</v>
      </c>
    </row>
    <row r="107" spans="1:10" x14ac:dyDescent="0.3">
      <c r="A107" s="10">
        <v>45934</v>
      </c>
      <c r="B107">
        <v>20220012933</v>
      </c>
      <c r="C107" s="11" t="s">
        <v>85</v>
      </c>
      <c r="D107" s="11" t="s">
        <v>81</v>
      </c>
      <c r="E107" s="11" t="s">
        <v>77</v>
      </c>
      <c r="F107" s="11" t="s">
        <v>64</v>
      </c>
      <c r="G107">
        <v>100000</v>
      </c>
      <c r="H107" s="11" t="s">
        <v>65</v>
      </c>
      <c r="I107" s="11" t="s">
        <v>33</v>
      </c>
      <c r="J107" s="10">
        <v>45748</v>
      </c>
    </row>
    <row r="108" spans="1:10" x14ac:dyDescent="0.3">
      <c r="A108" s="10">
        <v>45934</v>
      </c>
      <c r="B108">
        <v>20220012936</v>
      </c>
      <c r="C108" s="11" t="s">
        <v>85</v>
      </c>
      <c r="D108" s="11" t="s">
        <v>82</v>
      </c>
      <c r="E108" s="11" t="s">
        <v>77</v>
      </c>
      <c r="F108" s="11" t="s">
        <v>62</v>
      </c>
      <c r="G108">
        <v>500000</v>
      </c>
      <c r="H108" s="11" t="s">
        <v>63</v>
      </c>
      <c r="I108" s="11" t="s">
        <v>75</v>
      </c>
      <c r="J108" s="10">
        <v>45778</v>
      </c>
    </row>
    <row r="109" spans="1:10" x14ac:dyDescent="0.3">
      <c r="A109" s="10">
        <v>45935</v>
      </c>
      <c r="B109">
        <v>20220012945</v>
      </c>
      <c r="C109" s="11" t="s">
        <v>85</v>
      </c>
      <c r="D109" s="11" t="s">
        <v>82</v>
      </c>
      <c r="E109" s="11" t="s">
        <v>77</v>
      </c>
      <c r="F109" s="11" t="s">
        <v>52</v>
      </c>
      <c r="G109">
        <v>100000</v>
      </c>
      <c r="H109" s="11" t="s">
        <v>53</v>
      </c>
      <c r="I109" s="11" t="s">
        <v>75</v>
      </c>
      <c r="J109" s="10">
        <v>44958</v>
      </c>
    </row>
    <row r="110" spans="1:10" x14ac:dyDescent="0.3">
      <c r="A110" s="10">
        <v>45935</v>
      </c>
      <c r="B110">
        <v>20220012948</v>
      </c>
      <c r="C110" s="11" t="s">
        <v>85</v>
      </c>
      <c r="D110" s="11" t="s">
        <v>81</v>
      </c>
      <c r="E110" s="11" t="s">
        <v>77</v>
      </c>
      <c r="F110" s="11" t="s">
        <v>56</v>
      </c>
      <c r="G110">
        <v>300000</v>
      </c>
      <c r="H110" s="11" t="s">
        <v>57</v>
      </c>
      <c r="I110" s="11" t="s">
        <v>74</v>
      </c>
      <c r="J110" s="10">
        <v>45566</v>
      </c>
    </row>
    <row r="111" spans="1:10" x14ac:dyDescent="0.3">
      <c r="A111" s="10">
        <v>45936</v>
      </c>
      <c r="B111">
        <v>20220012951</v>
      </c>
      <c r="C111" s="11" t="s">
        <v>85</v>
      </c>
      <c r="D111" s="11" t="s">
        <v>82</v>
      </c>
      <c r="E111" s="11" t="s">
        <v>77</v>
      </c>
      <c r="F111" s="11" t="s">
        <v>50</v>
      </c>
      <c r="G111">
        <v>1000000</v>
      </c>
      <c r="H111" s="11" t="s">
        <v>51</v>
      </c>
      <c r="I111" s="11" t="s">
        <v>33</v>
      </c>
      <c r="J111" s="10">
        <v>44958</v>
      </c>
    </row>
    <row r="112" spans="1:10" x14ac:dyDescent="0.3">
      <c r="A112" s="10">
        <v>45936</v>
      </c>
      <c r="B112">
        <v>20220012954</v>
      </c>
      <c r="C112" s="11" t="s">
        <v>85</v>
      </c>
      <c r="D112" s="11" t="s">
        <v>82</v>
      </c>
      <c r="E112" s="11" t="s">
        <v>77</v>
      </c>
      <c r="F112" s="11" t="s">
        <v>13</v>
      </c>
      <c r="G112">
        <v>100000</v>
      </c>
      <c r="H112" s="11" t="s">
        <v>21</v>
      </c>
      <c r="I112" s="11" t="s">
        <v>75</v>
      </c>
      <c r="J112" s="10">
        <v>45383</v>
      </c>
    </row>
    <row r="113" spans="1:10" x14ac:dyDescent="0.3">
      <c r="A113" s="10">
        <v>45936</v>
      </c>
      <c r="B113">
        <v>20220012960</v>
      </c>
      <c r="C113" s="11" t="s">
        <v>85</v>
      </c>
      <c r="D113" s="11" t="s">
        <v>80</v>
      </c>
      <c r="E113" s="11" t="s">
        <v>77</v>
      </c>
      <c r="F113" s="11" t="s">
        <v>13</v>
      </c>
      <c r="G113">
        <v>100000</v>
      </c>
      <c r="H113" s="11" t="s">
        <v>21</v>
      </c>
      <c r="I113" s="11" t="s">
        <v>75</v>
      </c>
      <c r="J113" s="10">
        <v>45383</v>
      </c>
    </row>
    <row r="114" spans="1:10" x14ac:dyDescent="0.3">
      <c r="A114" s="10">
        <v>45936</v>
      </c>
      <c r="B114">
        <v>20220012963</v>
      </c>
      <c r="C114" s="11" t="s">
        <v>85</v>
      </c>
      <c r="D114" s="11" t="s">
        <v>82</v>
      </c>
      <c r="E114" s="11" t="s">
        <v>77</v>
      </c>
      <c r="F114" s="11" t="s">
        <v>3</v>
      </c>
      <c r="G114">
        <v>600000</v>
      </c>
      <c r="H114" s="11" t="s">
        <v>27</v>
      </c>
      <c r="I114" s="11" t="s">
        <v>74</v>
      </c>
      <c r="J114" s="10">
        <v>44958</v>
      </c>
    </row>
    <row r="115" spans="1:10" x14ac:dyDescent="0.3">
      <c r="A115" s="10">
        <v>45936</v>
      </c>
      <c r="B115">
        <v>20220012966</v>
      </c>
      <c r="C115" s="11" t="s">
        <v>85</v>
      </c>
      <c r="D115" s="11" t="s">
        <v>81</v>
      </c>
      <c r="E115" s="11" t="s">
        <v>77</v>
      </c>
      <c r="F115" s="11" t="s">
        <v>13</v>
      </c>
      <c r="G115">
        <v>600000</v>
      </c>
      <c r="H115" s="11" t="s">
        <v>21</v>
      </c>
      <c r="I115" s="11" t="s">
        <v>75</v>
      </c>
      <c r="J115" s="10">
        <v>45383</v>
      </c>
    </row>
    <row r="116" spans="1:10" x14ac:dyDescent="0.3">
      <c r="A116" s="10">
        <v>45936</v>
      </c>
      <c r="B116">
        <v>20220012969</v>
      </c>
      <c r="C116" s="11" t="s">
        <v>85</v>
      </c>
      <c r="D116" s="11" t="s">
        <v>81</v>
      </c>
      <c r="E116" s="11" t="s">
        <v>77</v>
      </c>
      <c r="F116" s="11" t="s">
        <v>3</v>
      </c>
      <c r="G116">
        <v>200000</v>
      </c>
      <c r="H116" s="11" t="s">
        <v>27</v>
      </c>
      <c r="I116" s="11" t="s">
        <v>74</v>
      </c>
      <c r="J116" s="10">
        <v>44958</v>
      </c>
    </row>
    <row r="117" spans="1:10" x14ac:dyDescent="0.3">
      <c r="A117" s="10">
        <v>45936</v>
      </c>
      <c r="B117">
        <v>20220012972</v>
      </c>
      <c r="C117" s="11" t="s">
        <v>85</v>
      </c>
      <c r="D117" s="11" t="s">
        <v>81</v>
      </c>
      <c r="E117" s="11" t="s">
        <v>77</v>
      </c>
      <c r="F117" s="11" t="s">
        <v>3</v>
      </c>
      <c r="G117">
        <v>1000000</v>
      </c>
      <c r="H117" s="11" t="s">
        <v>27</v>
      </c>
      <c r="I117" s="11" t="s">
        <v>74</v>
      </c>
      <c r="J117" s="10">
        <v>44958</v>
      </c>
    </row>
    <row r="118" spans="1:10" x14ac:dyDescent="0.3">
      <c r="A118" s="10">
        <v>45936</v>
      </c>
      <c r="B118">
        <v>20220012975</v>
      </c>
      <c r="C118" s="11" t="s">
        <v>85</v>
      </c>
      <c r="D118" s="11" t="s">
        <v>82</v>
      </c>
      <c r="E118" s="11" t="s">
        <v>77</v>
      </c>
      <c r="F118" s="11" t="s">
        <v>13</v>
      </c>
      <c r="G118">
        <v>100000</v>
      </c>
      <c r="H118" s="11" t="s">
        <v>21</v>
      </c>
      <c r="I118" s="11" t="s">
        <v>75</v>
      </c>
      <c r="J118" s="10">
        <v>45383</v>
      </c>
    </row>
    <row r="119" spans="1:10" x14ac:dyDescent="0.3">
      <c r="A119" s="10">
        <v>45936</v>
      </c>
      <c r="B119">
        <v>20220012978</v>
      </c>
      <c r="C119" s="11" t="s">
        <v>85</v>
      </c>
      <c r="D119" s="11" t="s">
        <v>80</v>
      </c>
      <c r="E119" s="11" t="s">
        <v>77</v>
      </c>
      <c r="F119" s="11" t="s">
        <v>3</v>
      </c>
      <c r="G119">
        <v>600000</v>
      </c>
      <c r="H119" s="11" t="s">
        <v>27</v>
      </c>
      <c r="I119" s="11" t="s">
        <v>74</v>
      </c>
      <c r="J119" s="10">
        <v>44958</v>
      </c>
    </row>
    <row r="120" spans="1:10" x14ac:dyDescent="0.3">
      <c r="A120" s="10">
        <v>45936</v>
      </c>
      <c r="B120">
        <v>20220012981</v>
      </c>
      <c r="C120" s="11" t="s">
        <v>85</v>
      </c>
      <c r="D120" s="11" t="s">
        <v>80</v>
      </c>
      <c r="E120" s="11" t="s">
        <v>77</v>
      </c>
      <c r="F120" s="11" t="s">
        <v>4</v>
      </c>
      <c r="G120">
        <v>100000</v>
      </c>
      <c r="H120" s="11" t="s">
        <v>34</v>
      </c>
      <c r="I120" s="11" t="s">
        <v>74</v>
      </c>
      <c r="J120" s="10">
        <v>45536</v>
      </c>
    </row>
    <row r="121" spans="1:10" x14ac:dyDescent="0.3">
      <c r="A121" s="10">
        <v>45936</v>
      </c>
      <c r="B121">
        <v>20220012984</v>
      </c>
      <c r="C121" s="11" t="s">
        <v>85</v>
      </c>
      <c r="D121" s="11" t="s">
        <v>82</v>
      </c>
      <c r="E121" s="11" t="s">
        <v>77</v>
      </c>
      <c r="F121" s="11" t="s">
        <v>14</v>
      </c>
      <c r="G121">
        <v>100000</v>
      </c>
      <c r="H121" s="11" t="s">
        <v>70</v>
      </c>
      <c r="I121" s="11" t="s">
        <v>74</v>
      </c>
      <c r="J121" s="10">
        <v>45809</v>
      </c>
    </row>
    <row r="122" spans="1:10" x14ac:dyDescent="0.3">
      <c r="A122" s="10">
        <v>45936</v>
      </c>
      <c r="B122">
        <v>20220012990</v>
      </c>
      <c r="C122" s="11" t="s">
        <v>85</v>
      </c>
      <c r="D122" s="11" t="s">
        <v>82</v>
      </c>
      <c r="E122" s="11" t="s">
        <v>77</v>
      </c>
      <c r="F122" s="11" t="s">
        <v>3</v>
      </c>
      <c r="G122">
        <v>1000000</v>
      </c>
      <c r="H122" s="11" t="s">
        <v>27</v>
      </c>
      <c r="I122" s="11" t="s">
        <v>74</v>
      </c>
      <c r="J122" s="10">
        <v>44958</v>
      </c>
    </row>
    <row r="123" spans="1:10" x14ac:dyDescent="0.3">
      <c r="A123" s="10">
        <v>45936</v>
      </c>
      <c r="B123">
        <v>20220012993</v>
      </c>
      <c r="C123" s="11" t="s">
        <v>85</v>
      </c>
      <c r="D123" s="11" t="s">
        <v>82</v>
      </c>
      <c r="E123" s="11" t="s">
        <v>77</v>
      </c>
      <c r="F123" s="11" t="s">
        <v>2</v>
      </c>
      <c r="G123">
        <v>100000</v>
      </c>
      <c r="H123" s="11" t="s">
        <v>25</v>
      </c>
      <c r="I123" s="11" t="s">
        <v>75</v>
      </c>
      <c r="J123" s="10">
        <v>45809</v>
      </c>
    </row>
    <row r="124" spans="1:10" x14ac:dyDescent="0.3">
      <c r="A124" s="10">
        <v>45936</v>
      </c>
      <c r="B124">
        <v>20220012996</v>
      </c>
      <c r="C124" s="11" t="s">
        <v>85</v>
      </c>
      <c r="D124" s="11" t="s">
        <v>82</v>
      </c>
      <c r="E124" s="11" t="s">
        <v>77</v>
      </c>
      <c r="F124" s="11" t="s">
        <v>4</v>
      </c>
      <c r="G124">
        <v>1000000</v>
      </c>
      <c r="H124" s="11" t="s">
        <v>34</v>
      </c>
      <c r="I124" s="11" t="s">
        <v>74</v>
      </c>
      <c r="J124" s="10">
        <v>45536</v>
      </c>
    </row>
    <row r="125" spans="1:10" x14ac:dyDescent="0.3">
      <c r="A125" s="10">
        <v>45936</v>
      </c>
      <c r="B125">
        <v>20220012999</v>
      </c>
      <c r="C125" s="11" t="s">
        <v>85</v>
      </c>
      <c r="D125" s="11" t="s">
        <v>82</v>
      </c>
      <c r="E125" s="11" t="s">
        <v>77</v>
      </c>
      <c r="F125" s="11" t="s">
        <v>3</v>
      </c>
      <c r="G125">
        <v>100000</v>
      </c>
      <c r="H125" s="11" t="s">
        <v>27</v>
      </c>
      <c r="I125" s="11" t="s">
        <v>74</v>
      </c>
      <c r="J125" s="10">
        <v>44958</v>
      </c>
    </row>
    <row r="126" spans="1:10" x14ac:dyDescent="0.3">
      <c r="A126" s="10">
        <v>45936</v>
      </c>
      <c r="B126">
        <v>20220013002</v>
      </c>
      <c r="C126" s="11" t="s">
        <v>85</v>
      </c>
      <c r="D126" s="11" t="s">
        <v>80</v>
      </c>
      <c r="E126" s="11" t="s">
        <v>77</v>
      </c>
      <c r="F126" s="11" t="s">
        <v>2</v>
      </c>
      <c r="G126">
        <v>100000</v>
      </c>
      <c r="H126" s="11" t="s">
        <v>25</v>
      </c>
      <c r="I126" s="11" t="s">
        <v>75</v>
      </c>
      <c r="J126" s="10">
        <v>45809</v>
      </c>
    </row>
    <row r="127" spans="1:10" x14ac:dyDescent="0.3">
      <c r="A127" s="10">
        <v>45936</v>
      </c>
      <c r="B127">
        <v>20220013005</v>
      </c>
      <c r="C127" s="11" t="s">
        <v>85</v>
      </c>
      <c r="D127" s="11" t="s">
        <v>82</v>
      </c>
      <c r="E127" s="11" t="s">
        <v>77</v>
      </c>
      <c r="F127" s="11" t="s">
        <v>4</v>
      </c>
      <c r="G127">
        <v>100000</v>
      </c>
      <c r="H127" s="11" t="s">
        <v>34</v>
      </c>
      <c r="I127" s="11" t="s">
        <v>74</v>
      </c>
      <c r="J127" s="10">
        <v>45536</v>
      </c>
    </row>
    <row r="128" spans="1:10" x14ac:dyDescent="0.3">
      <c r="A128" s="10">
        <v>45936</v>
      </c>
      <c r="B128">
        <v>20220013008</v>
      </c>
      <c r="C128" s="11" t="s">
        <v>85</v>
      </c>
      <c r="D128" s="11" t="s">
        <v>81</v>
      </c>
      <c r="E128" s="11" t="s">
        <v>77</v>
      </c>
      <c r="F128" s="11" t="s">
        <v>3</v>
      </c>
      <c r="G128">
        <v>100000</v>
      </c>
      <c r="H128" s="11" t="s">
        <v>27</v>
      </c>
      <c r="I128" s="11" t="s">
        <v>74</v>
      </c>
      <c r="J128" s="10">
        <v>44958</v>
      </c>
    </row>
    <row r="129" spans="1:10" x14ac:dyDescent="0.3">
      <c r="A129" s="10">
        <v>45936</v>
      </c>
      <c r="B129">
        <v>20220013011</v>
      </c>
      <c r="C129" s="11" t="s">
        <v>85</v>
      </c>
      <c r="D129" s="11" t="s">
        <v>82</v>
      </c>
      <c r="E129" s="11" t="s">
        <v>77</v>
      </c>
      <c r="F129" s="11" t="s">
        <v>13</v>
      </c>
      <c r="G129">
        <v>100000</v>
      </c>
      <c r="H129" s="11" t="s">
        <v>21</v>
      </c>
      <c r="I129" s="11" t="s">
        <v>75</v>
      </c>
      <c r="J129" s="10">
        <v>45383</v>
      </c>
    </row>
    <row r="130" spans="1:10" x14ac:dyDescent="0.3">
      <c r="A130" s="10">
        <v>45936</v>
      </c>
      <c r="B130">
        <v>20220013014</v>
      </c>
      <c r="C130" s="11" t="s">
        <v>85</v>
      </c>
      <c r="D130" s="11" t="s">
        <v>81</v>
      </c>
      <c r="E130" s="11" t="s">
        <v>77</v>
      </c>
      <c r="F130" s="11" t="s">
        <v>3</v>
      </c>
      <c r="G130">
        <v>1000000</v>
      </c>
      <c r="H130" s="11" t="s">
        <v>27</v>
      </c>
      <c r="I130" s="11" t="s">
        <v>74</v>
      </c>
      <c r="J130" s="10">
        <v>44958</v>
      </c>
    </row>
    <row r="131" spans="1:10" x14ac:dyDescent="0.3">
      <c r="A131" s="10">
        <v>45936</v>
      </c>
      <c r="B131">
        <v>20220013020</v>
      </c>
      <c r="C131" s="11" t="s">
        <v>85</v>
      </c>
      <c r="D131" s="11" t="s">
        <v>82</v>
      </c>
      <c r="E131" s="11" t="s">
        <v>77</v>
      </c>
      <c r="F131" s="11" t="s">
        <v>64</v>
      </c>
      <c r="G131">
        <v>100000</v>
      </c>
      <c r="H131" s="11" t="s">
        <v>65</v>
      </c>
      <c r="I131" s="11" t="s">
        <v>33</v>
      </c>
      <c r="J131" s="10">
        <v>45748</v>
      </c>
    </row>
    <row r="132" spans="1:10" x14ac:dyDescent="0.3">
      <c r="A132" s="10">
        <v>45936</v>
      </c>
      <c r="B132">
        <v>20220013023</v>
      </c>
      <c r="C132" s="11" t="s">
        <v>85</v>
      </c>
      <c r="D132" s="11" t="s">
        <v>81</v>
      </c>
      <c r="E132" s="11" t="s">
        <v>77</v>
      </c>
      <c r="F132" s="11" t="s">
        <v>64</v>
      </c>
      <c r="G132">
        <v>1000000</v>
      </c>
      <c r="H132" s="11" t="s">
        <v>65</v>
      </c>
      <c r="I132" s="11" t="s">
        <v>33</v>
      </c>
      <c r="J132" s="10">
        <v>45748</v>
      </c>
    </row>
    <row r="133" spans="1:10" x14ac:dyDescent="0.3">
      <c r="A133" s="10">
        <v>45936</v>
      </c>
      <c r="B133">
        <v>20220013026</v>
      </c>
      <c r="C133" s="11" t="s">
        <v>85</v>
      </c>
      <c r="D133" s="11" t="s">
        <v>81</v>
      </c>
      <c r="E133" s="11" t="s">
        <v>77</v>
      </c>
      <c r="F133" s="11" t="s">
        <v>64</v>
      </c>
      <c r="G133">
        <v>750000</v>
      </c>
      <c r="H133" s="11" t="s">
        <v>65</v>
      </c>
      <c r="I133" s="11" t="s">
        <v>33</v>
      </c>
      <c r="J133" s="10">
        <v>45748</v>
      </c>
    </row>
    <row r="134" spans="1:10" x14ac:dyDescent="0.3">
      <c r="A134" s="10">
        <v>45936</v>
      </c>
      <c r="B134">
        <v>20220013029</v>
      </c>
      <c r="C134" s="11" t="s">
        <v>85</v>
      </c>
      <c r="D134" s="11" t="s">
        <v>82</v>
      </c>
      <c r="E134" s="11" t="s">
        <v>77</v>
      </c>
      <c r="F134" s="11" t="s">
        <v>64</v>
      </c>
      <c r="G134">
        <v>100000</v>
      </c>
      <c r="H134" s="11" t="s">
        <v>65</v>
      </c>
      <c r="I134" s="11" t="s">
        <v>33</v>
      </c>
      <c r="J134" s="10">
        <v>45748</v>
      </c>
    </row>
    <row r="135" spans="1:10" x14ac:dyDescent="0.3">
      <c r="A135" s="10">
        <v>45936</v>
      </c>
      <c r="B135">
        <v>20220013032</v>
      </c>
      <c r="C135" s="11" t="s">
        <v>85</v>
      </c>
      <c r="D135" s="11" t="s">
        <v>80</v>
      </c>
      <c r="E135" s="11" t="s">
        <v>77</v>
      </c>
      <c r="F135" s="11" t="s">
        <v>62</v>
      </c>
      <c r="G135">
        <v>100000</v>
      </c>
      <c r="H135" s="11" t="s">
        <v>63</v>
      </c>
      <c r="I135" s="11" t="s">
        <v>75</v>
      </c>
      <c r="J135" s="10">
        <v>45778</v>
      </c>
    </row>
    <row r="136" spans="1:10" x14ac:dyDescent="0.3">
      <c r="A136" s="10">
        <v>45936</v>
      </c>
      <c r="B136">
        <v>20220013035</v>
      </c>
      <c r="C136" s="11" t="s">
        <v>85</v>
      </c>
      <c r="D136" s="11" t="s">
        <v>80</v>
      </c>
      <c r="E136" s="11" t="s">
        <v>77</v>
      </c>
      <c r="F136" s="11" t="s">
        <v>62</v>
      </c>
      <c r="G136">
        <v>100000</v>
      </c>
      <c r="H136" s="11" t="s">
        <v>63</v>
      </c>
      <c r="I136" s="11" t="s">
        <v>75</v>
      </c>
      <c r="J136" s="10">
        <v>45778</v>
      </c>
    </row>
    <row r="137" spans="1:10" x14ac:dyDescent="0.3">
      <c r="A137" s="10">
        <v>45936</v>
      </c>
      <c r="B137">
        <v>20220013038</v>
      </c>
      <c r="C137" s="11" t="s">
        <v>85</v>
      </c>
      <c r="D137" s="11" t="s">
        <v>81</v>
      </c>
      <c r="E137" s="11" t="s">
        <v>77</v>
      </c>
      <c r="F137" s="11" t="s">
        <v>62</v>
      </c>
      <c r="G137">
        <v>100000</v>
      </c>
      <c r="H137" s="11" t="s">
        <v>63</v>
      </c>
      <c r="I137" s="11" t="s">
        <v>75</v>
      </c>
      <c r="J137" s="10">
        <v>45778</v>
      </c>
    </row>
    <row r="138" spans="1:10" x14ac:dyDescent="0.3">
      <c r="A138" s="10">
        <v>45936</v>
      </c>
      <c r="B138">
        <v>20220013041</v>
      </c>
      <c r="C138" s="11" t="s">
        <v>85</v>
      </c>
      <c r="D138" s="11" t="s">
        <v>81</v>
      </c>
      <c r="E138" s="11" t="s">
        <v>77</v>
      </c>
      <c r="F138" s="11" t="s">
        <v>62</v>
      </c>
      <c r="G138">
        <v>100000</v>
      </c>
      <c r="H138" s="11" t="s">
        <v>63</v>
      </c>
      <c r="I138" s="11" t="s">
        <v>75</v>
      </c>
      <c r="J138" s="10">
        <v>45778</v>
      </c>
    </row>
    <row r="139" spans="1:10" x14ac:dyDescent="0.3">
      <c r="A139" s="10">
        <v>45936</v>
      </c>
      <c r="B139">
        <v>20220013044</v>
      </c>
      <c r="C139" s="11" t="s">
        <v>85</v>
      </c>
      <c r="D139" s="11" t="s">
        <v>82</v>
      </c>
      <c r="E139" s="11" t="s">
        <v>77</v>
      </c>
      <c r="F139" s="11" t="s">
        <v>10</v>
      </c>
      <c r="G139">
        <v>1000000</v>
      </c>
      <c r="H139" s="11" t="s">
        <v>46</v>
      </c>
      <c r="I139" s="11" t="s">
        <v>75</v>
      </c>
      <c r="J139" s="10">
        <v>44958</v>
      </c>
    </row>
    <row r="140" spans="1:10" x14ac:dyDescent="0.3">
      <c r="A140" s="10">
        <v>45936</v>
      </c>
      <c r="B140">
        <v>20220013047</v>
      </c>
      <c r="C140" s="11" t="s">
        <v>85</v>
      </c>
      <c r="D140" s="11" t="s">
        <v>81</v>
      </c>
      <c r="E140" s="11" t="s">
        <v>77</v>
      </c>
      <c r="F140" s="11" t="s">
        <v>44</v>
      </c>
      <c r="G140">
        <v>500000</v>
      </c>
      <c r="H140" s="11" t="s">
        <v>43</v>
      </c>
      <c r="I140" s="11" t="s">
        <v>33</v>
      </c>
      <c r="J140" s="10">
        <v>45901</v>
      </c>
    </row>
    <row r="141" spans="1:10" x14ac:dyDescent="0.3">
      <c r="A141" s="10">
        <v>45936</v>
      </c>
      <c r="B141">
        <v>20220013050</v>
      </c>
      <c r="C141" s="11" t="s">
        <v>85</v>
      </c>
      <c r="D141" s="11" t="s">
        <v>81</v>
      </c>
      <c r="E141" s="11" t="s">
        <v>77</v>
      </c>
      <c r="F141" s="11" t="s">
        <v>44</v>
      </c>
      <c r="G141">
        <v>500000</v>
      </c>
      <c r="H141" s="11" t="s">
        <v>43</v>
      </c>
      <c r="I141" s="11" t="s">
        <v>33</v>
      </c>
      <c r="J141" s="10">
        <v>45901</v>
      </c>
    </row>
    <row r="142" spans="1:10" x14ac:dyDescent="0.3">
      <c r="A142" s="10">
        <v>45937</v>
      </c>
      <c r="B142">
        <v>20220013053</v>
      </c>
      <c r="C142" s="11" t="s">
        <v>85</v>
      </c>
      <c r="D142" s="11" t="s">
        <v>82</v>
      </c>
      <c r="E142" s="11" t="s">
        <v>77</v>
      </c>
      <c r="F142" s="11" t="s">
        <v>4</v>
      </c>
      <c r="G142">
        <v>750000</v>
      </c>
      <c r="H142" s="11" t="s">
        <v>34</v>
      </c>
      <c r="I142" s="11" t="s">
        <v>74</v>
      </c>
      <c r="J142" s="10">
        <v>45536</v>
      </c>
    </row>
    <row r="143" spans="1:10" x14ac:dyDescent="0.3">
      <c r="A143" s="10">
        <v>45937</v>
      </c>
      <c r="B143">
        <v>20220013056</v>
      </c>
      <c r="C143" s="11" t="s">
        <v>85</v>
      </c>
      <c r="D143" s="11" t="s">
        <v>82</v>
      </c>
      <c r="E143" s="11" t="s">
        <v>77</v>
      </c>
      <c r="F143" s="11" t="s">
        <v>4</v>
      </c>
      <c r="G143">
        <v>1750000</v>
      </c>
      <c r="H143" s="11" t="s">
        <v>34</v>
      </c>
      <c r="I143" s="11" t="s">
        <v>74</v>
      </c>
      <c r="J143" s="10">
        <v>45536</v>
      </c>
    </row>
    <row r="144" spans="1:10" x14ac:dyDescent="0.3">
      <c r="A144" s="10">
        <v>45937</v>
      </c>
      <c r="B144">
        <v>20220013059</v>
      </c>
      <c r="C144" s="11" t="s">
        <v>85</v>
      </c>
      <c r="D144" s="11" t="s">
        <v>80</v>
      </c>
      <c r="E144" s="11" t="s">
        <v>77</v>
      </c>
      <c r="F144" s="11" t="s">
        <v>4</v>
      </c>
      <c r="G144">
        <v>750000</v>
      </c>
      <c r="H144" s="11" t="s">
        <v>34</v>
      </c>
      <c r="I144" s="11" t="s">
        <v>74</v>
      </c>
      <c r="J144" s="10">
        <v>45536</v>
      </c>
    </row>
    <row r="145" spans="1:10" x14ac:dyDescent="0.3">
      <c r="A145" s="10">
        <v>45937</v>
      </c>
      <c r="B145">
        <v>20220013062</v>
      </c>
      <c r="C145" s="11" t="s">
        <v>85</v>
      </c>
      <c r="D145" s="11" t="s">
        <v>80</v>
      </c>
      <c r="E145" s="11" t="s">
        <v>77</v>
      </c>
      <c r="F145" s="11" t="s">
        <v>4</v>
      </c>
      <c r="G145">
        <v>750000</v>
      </c>
      <c r="H145" s="11" t="s">
        <v>34</v>
      </c>
      <c r="I145" s="11" t="s">
        <v>74</v>
      </c>
      <c r="J145" s="10">
        <v>45536</v>
      </c>
    </row>
    <row r="146" spans="1:10" x14ac:dyDescent="0.3">
      <c r="A146" s="10">
        <v>45937</v>
      </c>
      <c r="B146">
        <v>20220013065</v>
      </c>
      <c r="C146" s="11" t="s">
        <v>85</v>
      </c>
      <c r="D146" s="11" t="s">
        <v>80</v>
      </c>
      <c r="E146" s="11" t="s">
        <v>77</v>
      </c>
      <c r="F146" s="11" t="s">
        <v>4</v>
      </c>
      <c r="G146">
        <v>600000</v>
      </c>
      <c r="H146" s="11" t="s">
        <v>34</v>
      </c>
      <c r="I146" s="11" t="s">
        <v>74</v>
      </c>
      <c r="J146" s="10">
        <v>45536</v>
      </c>
    </row>
    <row r="147" spans="1:10" x14ac:dyDescent="0.3">
      <c r="A147" s="10">
        <v>45937</v>
      </c>
      <c r="B147">
        <v>20220013068</v>
      </c>
      <c r="C147" s="11" t="s">
        <v>85</v>
      </c>
      <c r="D147" s="11" t="s">
        <v>82</v>
      </c>
      <c r="E147" s="11" t="s">
        <v>77</v>
      </c>
      <c r="F147" s="11" t="s">
        <v>4</v>
      </c>
      <c r="G147">
        <v>100000</v>
      </c>
      <c r="H147" s="11" t="s">
        <v>34</v>
      </c>
      <c r="I147" s="11" t="s">
        <v>74</v>
      </c>
      <c r="J147" s="10">
        <v>45536</v>
      </c>
    </row>
    <row r="148" spans="1:10" x14ac:dyDescent="0.3">
      <c r="A148" s="10">
        <v>45937</v>
      </c>
      <c r="B148">
        <v>20220013071</v>
      </c>
      <c r="C148" s="11" t="s">
        <v>85</v>
      </c>
      <c r="D148" s="11" t="s">
        <v>82</v>
      </c>
      <c r="E148" s="11" t="s">
        <v>77</v>
      </c>
      <c r="F148" s="11" t="s">
        <v>4</v>
      </c>
      <c r="G148">
        <v>100000</v>
      </c>
      <c r="H148" s="11" t="s">
        <v>34</v>
      </c>
      <c r="I148" s="11" t="s">
        <v>74</v>
      </c>
      <c r="J148" s="10">
        <v>45536</v>
      </c>
    </row>
    <row r="149" spans="1:10" x14ac:dyDescent="0.3">
      <c r="A149" s="10">
        <v>45937</v>
      </c>
      <c r="B149">
        <v>20220013074</v>
      </c>
      <c r="C149" s="11" t="s">
        <v>85</v>
      </c>
      <c r="D149" s="11" t="s">
        <v>80</v>
      </c>
      <c r="E149" s="11" t="s">
        <v>77</v>
      </c>
      <c r="F149" s="11" t="s">
        <v>4</v>
      </c>
      <c r="G149">
        <v>1000000</v>
      </c>
      <c r="H149" s="11" t="s">
        <v>34</v>
      </c>
      <c r="I149" s="11" t="s">
        <v>74</v>
      </c>
      <c r="J149" s="10">
        <v>45536</v>
      </c>
    </row>
    <row r="150" spans="1:10" x14ac:dyDescent="0.3">
      <c r="A150" s="10">
        <v>45937</v>
      </c>
      <c r="B150">
        <v>20220013077</v>
      </c>
      <c r="C150" s="11" t="s">
        <v>85</v>
      </c>
      <c r="D150" s="11" t="s">
        <v>80</v>
      </c>
      <c r="E150" s="11" t="s">
        <v>77</v>
      </c>
      <c r="F150" s="11" t="s">
        <v>60</v>
      </c>
      <c r="G150">
        <v>100000</v>
      </c>
      <c r="H150" s="11" t="s">
        <v>61</v>
      </c>
      <c r="I150" s="11" t="s">
        <v>75</v>
      </c>
      <c r="J150" s="10">
        <v>45748</v>
      </c>
    </row>
    <row r="151" spans="1:10" x14ac:dyDescent="0.3">
      <c r="A151" s="10">
        <v>45937</v>
      </c>
      <c r="B151">
        <v>20220013080</v>
      </c>
      <c r="C151" s="11" t="s">
        <v>85</v>
      </c>
      <c r="D151" s="11" t="s">
        <v>80</v>
      </c>
      <c r="E151" s="11" t="s">
        <v>77</v>
      </c>
      <c r="F151" s="11" t="s">
        <v>60</v>
      </c>
      <c r="G151">
        <v>100000</v>
      </c>
      <c r="H151" s="11" t="s">
        <v>61</v>
      </c>
      <c r="I151" s="11" t="s">
        <v>75</v>
      </c>
      <c r="J151" s="10">
        <v>45748</v>
      </c>
    </row>
    <row r="152" spans="1:10" x14ac:dyDescent="0.3">
      <c r="A152" s="10">
        <v>45937</v>
      </c>
      <c r="B152">
        <v>20220013083</v>
      </c>
      <c r="C152" s="11" t="s">
        <v>85</v>
      </c>
      <c r="D152" s="11" t="s">
        <v>80</v>
      </c>
      <c r="E152" s="11" t="s">
        <v>77</v>
      </c>
      <c r="F152" s="11" t="s">
        <v>4</v>
      </c>
      <c r="G152">
        <v>750000</v>
      </c>
      <c r="H152" s="11" t="s">
        <v>34</v>
      </c>
      <c r="I152" s="11" t="s">
        <v>74</v>
      </c>
      <c r="J152" s="10">
        <v>45536</v>
      </c>
    </row>
    <row r="153" spans="1:10" x14ac:dyDescent="0.3">
      <c r="A153" s="10">
        <v>45937</v>
      </c>
      <c r="B153">
        <v>20220013086</v>
      </c>
      <c r="C153" s="11" t="s">
        <v>85</v>
      </c>
      <c r="D153" s="11" t="s">
        <v>80</v>
      </c>
      <c r="E153" s="11" t="s">
        <v>77</v>
      </c>
      <c r="F153" s="11" t="s">
        <v>4</v>
      </c>
      <c r="G153">
        <v>750000</v>
      </c>
      <c r="H153" s="11" t="s">
        <v>34</v>
      </c>
      <c r="I153" s="11" t="s">
        <v>74</v>
      </c>
      <c r="J153" s="10">
        <v>45536</v>
      </c>
    </row>
    <row r="154" spans="1:10" x14ac:dyDescent="0.3">
      <c r="A154" s="10">
        <v>45937</v>
      </c>
      <c r="B154">
        <v>20220013089</v>
      </c>
      <c r="C154" s="11" t="s">
        <v>85</v>
      </c>
      <c r="D154" s="11" t="s">
        <v>82</v>
      </c>
      <c r="E154" s="11" t="s">
        <v>77</v>
      </c>
      <c r="F154" s="11" t="s">
        <v>3</v>
      </c>
      <c r="G154">
        <v>1000000</v>
      </c>
      <c r="H154" s="11" t="s">
        <v>27</v>
      </c>
      <c r="I154" s="11" t="s">
        <v>74</v>
      </c>
      <c r="J154" s="10">
        <v>44958</v>
      </c>
    </row>
    <row r="155" spans="1:10" x14ac:dyDescent="0.3">
      <c r="A155" s="10">
        <v>45937</v>
      </c>
      <c r="B155">
        <v>20220013092</v>
      </c>
      <c r="C155" s="11" t="s">
        <v>85</v>
      </c>
      <c r="D155" s="11" t="s">
        <v>82</v>
      </c>
      <c r="E155" s="11" t="s">
        <v>77</v>
      </c>
      <c r="F155" s="11" t="s">
        <v>3</v>
      </c>
      <c r="G155">
        <v>1000000</v>
      </c>
      <c r="H155" s="11" t="s">
        <v>27</v>
      </c>
      <c r="I155" s="11" t="s">
        <v>74</v>
      </c>
      <c r="J155" s="10">
        <v>44958</v>
      </c>
    </row>
    <row r="156" spans="1:10" x14ac:dyDescent="0.3">
      <c r="A156" s="10">
        <v>45937</v>
      </c>
      <c r="B156">
        <v>20220013095</v>
      </c>
      <c r="C156" s="11" t="s">
        <v>85</v>
      </c>
      <c r="D156" s="11" t="s">
        <v>82</v>
      </c>
      <c r="E156" s="11" t="s">
        <v>77</v>
      </c>
      <c r="F156" s="11" t="s">
        <v>6</v>
      </c>
      <c r="G156">
        <v>100000</v>
      </c>
      <c r="H156" s="11" t="s">
        <v>68</v>
      </c>
      <c r="I156" s="11" t="s">
        <v>33</v>
      </c>
      <c r="J156" s="10">
        <v>45505</v>
      </c>
    </row>
    <row r="157" spans="1:10" x14ac:dyDescent="0.3">
      <c r="A157" s="10">
        <v>45937</v>
      </c>
      <c r="B157">
        <v>20220013098</v>
      </c>
      <c r="C157" s="11" t="s">
        <v>85</v>
      </c>
      <c r="D157" s="11" t="s">
        <v>82</v>
      </c>
      <c r="E157" s="11" t="s">
        <v>77</v>
      </c>
      <c r="F157" s="11" t="s">
        <v>3</v>
      </c>
      <c r="G157">
        <v>750000</v>
      </c>
      <c r="H157" s="11" t="s">
        <v>27</v>
      </c>
      <c r="I157" s="11" t="s">
        <v>74</v>
      </c>
      <c r="J157" s="10">
        <v>44958</v>
      </c>
    </row>
    <row r="158" spans="1:10" x14ac:dyDescent="0.3">
      <c r="A158" s="10">
        <v>45937</v>
      </c>
      <c r="B158">
        <v>20220013101</v>
      </c>
      <c r="C158" s="11" t="s">
        <v>85</v>
      </c>
      <c r="D158" s="11" t="s">
        <v>82</v>
      </c>
      <c r="E158" s="11" t="s">
        <v>77</v>
      </c>
      <c r="F158" s="11" t="s">
        <v>3</v>
      </c>
      <c r="G158">
        <v>750000</v>
      </c>
      <c r="H158" s="11" t="s">
        <v>27</v>
      </c>
      <c r="I158" s="11" t="s">
        <v>74</v>
      </c>
      <c r="J158" s="10">
        <v>44958</v>
      </c>
    </row>
    <row r="159" spans="1:10" x14ac:dyDescent="0.3">
      <c r="A159" s="10">
        <v>45937</v>
      </c>
      <c r="B159">
        <v>20220013104</v>
      </c>
      <c r="C159" s="11" t="s">
        <v>85</v>
      </c>
      <c r="D159" s="11" t="s">
        <v>80</v>
      </c>
      <c r="E159" s="11" t="s">
        <v>77</v>
      </c>
      <c r="F159" s="11" t="s">
        <v>6</v>
      </c>
      <c r="G159">
        <v>750000</v>
      </c>
      <c r="H159" s="11" t="s">
        <v>68</v>
      </c>
      <c r="I159" s="11" t="s">
        <v>33</v>
      </c>
      <c r="J159" s="10">
        <v>45505</v>
      </c>
    </row>
    <row r="160" spans="1:10" x14ac:dyDescent="0.3">
      <c r="A160" s="10">
        <v>45937</v>
      </c>
      <c r="B160">
        <v>20220013107</v>
      </c>
      <c r="C160" s="11" t="s">
        <v>85</v>
      </c>
      <c r="D160" s="11" t="s">
        <v>80</v>
      </c>
      <c r="E160" s="11" t="s">
        <v>77</v>
      </c>
      <c r="F160" s="11" t="s">
        <v>6</v>
      </c>
      <c r="G160">
        <v>750000</v>
      </c>
      <c r="H160" s="11" t="s">
        <v>68</v>
      </c>
      <c r="I160" s="11" t="s">
        <v>33</v>
      </c>
      <c r="J160" s="10">
        <v>45505</v>
      </c>
    </row>
    <row r="161" spans="1:10" x14ac:dyDescent="0.3">
      <c r="A161" s="10">
        <v>45937</v>
      </c>
      <c r="B161">
        <v>20220013110</v>
      </c>
      <c r="C161" s="11" t="s">
        <v>85</v>
      </c>
      <c r="D161" s="11" t="s">
        <v>82</v>
      </c>
      <c r="E161" s="11" t="s">
        <v>77</v>
      </c>
      <c r="F161" s="11" t="s">
        <v>4</v>
      </c>
      <c r="G161">
        <v>100000</v>
      </c>
      <c r="H161" s="11" t="s">
        <v>34</v>
      </c>
      <c r="I161" s="11" t="s">
        <v>74</v>
      </c>
      <c r="J161" s="10">
        <v>45536</v>
      </c>
    </row>
    <row r="162" spans="1:10" x14ac:dyDescent="0.3">
      <c r="A162" s="10">
        <v>45937</v>
      </c>
      <c r="B162">
        <v>20220013113</v>
      </c>
      <c r="C162" s="11" t="s">
        <v>85</v>
      </c>
      <c r="D162" s="11" t="s">
        <v>80</v>
      </c>
      <c r="E162" s="11" t="s">
        <v>77</v>
      </c>
      <c r="F162" s="11" t="s">
        <v>64</v>
      </c>
      <c r="G162">
        <v>100000</v>
      </c>
      <c r="H162" s="11" t="s">
        <v>65</v>
      </c>
      <c r="I162" s="11" t="s">
        <v>33</v>
      </c>
      <c r="J162" s="10">
        <v>45748</v>
      </c>
    </row>
    <row r="163" spans="1:10" x14ac:dyDescent="0.3">
      <c r="A163" s="10">
        <v>45937</v>
      </c>
      <c r="B163">
        <v>20220013116</v>
      </c>
      <c r="C163" s="11" t="s">
        <v>85</v>
      </c>
      <c r="D163" s="11" t="s">
        <v>80</v>
      </c>
      <c r="E163" s="11" t="s">
        <v>77</v>
      </c>
      <c r="F163" s="11" t="s">
        <v>64</v>
      </c>
      <c r="G163">
        <v>100000</v>
      </c>
      <c r="H163" s="11" t="s">
        <v>65</v>
      </c>
      <c r="I163" s="11" t="s">
        <v>33</v>
      </c>
      <c r="J163" s="10">
        <v>45748</v>
      </c>
    </row>
    <row r="164" spans="1:10" x14ac:dyDescent="0.3">
      <c r="A164" s="10">
        <v>45937</v>
      </c>
      <c r="B164">
        <v>20220013119</v>
      </c>
      <c r="C164" s="11" t="s">
        <v>85</v>
      </c>
      <c r="D164" s="11" t="s">
        <v>82</v>
      </c>
      <c r="E164" s="11" t="s">
        <v>77</v>
      </c>
      <c r="F164" s="11" t="s">
        <v>64</v>
      </c>
      <c r="G164">
        <v>750000</v>
      </c>
      <c r="H164" s="11" t="s">
        <v>65</v>
      </c>
      <c r="I164" s="11" t="s">
        <v>33</v>
      </c>
      <c r="J164" s="10">
        <v>45748</v>
      </c>
    </row>
    <row r="165" spans="1:10" x14ac:dyDescent="0.3">
      <c r="A165" s="10">
        <v>45937</v>
      </c>
      <c r="B165">
        <v>20220013122</v>
      </c>
      <c r="C165" s="11" t="s">
        <v>85</v>
      </c>
      <c r="D165" s="11" t="s">
        <v>82</v>
      </c>
      <c r="E165" s="11" t="s">
        <v>77</v>
      </c>
      <c r="F165" s="11" t="s">
        <v>62</v>
      </c>
      <c r="G165">
        <v>750000</v>
      </c>
      <c r="H165" s="11" t="s">
        <v>63</v>
      </c>
      <c r="I165" s="11" t="s">
        <v>75</v>
      </c>
      <c r="J165" s="10">
        <v>45778</v>
      </c>
    </row>
    <row r="166" spans="1:10" x14ac:dyDescent="0.3">
      <c r="A166" s="10">
        <v>45937</v>
      </c>
      <c r="B166">
        <v>20220013125</v>
      </c>
      <c r="C166" s="11" t="s">
        <v>85</v>
      </c>
      <c r="D166" s="11" t="s">
        <v>81</v>
      </c>
      <c r="E166" s="11" t="s">
        <v>77</v>
      </c>
      <c r="F166" s="11" t="s">
        <v>50</v>
      </c>
      <c r="G166">
        <v>300000</v>
      </c>
      <c r="H166" s="11" t="s">
        <v>51</v>
      </c>
      <c r="I166" s="11" t="s">
        <v>33</v>
      </c>
      <c r="J166" s="10">
        <v>44958</v>
      </c>
    </row>
    <row r="167" spans="1:10" x14ac:dyDescent="0.3">
      <c r="A167" s="10">
        <v>45937</v>
      </c>
      <c r="B167">
        <v>20220013128</v>
      </c>
      <c r="C167" s="11" t="s">
        <v>85</v>
      </c>
      <c r="D167" s="11" t="s">
        <v>81</v>
      </c>
      <c r="E167" s="11" t="s">
        <v>77</v>
      </c>
      <c r="F167" s="11" t="s">
        <v>9</v>
      </c>
      <c r="G167">
        <v>500000</v>
      </c>
      <c r="H167" s="11" t="s">
        <v>42</v>
      </c>
      <c r="I167" s="11" t="s">
        <v>33</v>
      </c>
      <c r="J167" s="10">
        <v>44958</v>
      </c>
    </row>
    <row r="168" spans="1:10" x14ac:dyDescent="0.3">
      <c r="A168" s="10">
        <v>45938</v>
      </c>
      <c r="B168">
        <v>20220013131</v>
      </c>
      <c r="C168" s="11" t="s">
        <v>85</v>
      </c>
      <c r="D168" s="11" t="s">
        <v>82</v>
      </c>
      <c r="E168" s="11" t="s">
        <v>77</v>
      </c>
      <c r="F168" s="11" t="s">
        <v>10</v>
      </c>
      <c r="G168">
        <v>1000000</v>
      </c>
      <c r="H168" s="11" t="s">
        <v>46</v>
      </c>
      <c r="I168" s="11" t="s">
        <v>75</v>
      </c>
      <c r="J168" s="10">
        <v>44958</v>
      </c>
    </row>
    <row r="169" spans="1:10" x14ac:dyDescent="0.3">
      <c r="A169" s="10">
        <v>45938</v>
      </c>
      <c r="B169">
        <v>20220013134</v>
      </c>
      <c r="C169" s="11" t="s">
        <v>85</v>
      </c>
      <c r="D169" s="11" t="s">
        <v>82</v>
      </c>
      <c r="E169" s="11" t="s">
        <v>77</v>
      </c>
      <c r="F169" s="11" t="s">
        <v>44</v>
      </c>
      <c r="G169">
        <v>100000</v>
      </c>
      <c r="H169" s="11" t="s">
        <v>43</v>
      </c>
      <c r="I169" s="11" t="s">
        <v>33</v>
      </c>
      <c r="J169" s="10">
        <v>45901</v>
      </c>
    </row>
    <row r="170" spans="1:10" x14ac:dyDescent="0.3">
      <c r="A170" s="10">
        <v>45938</v>
      </c>
      <c r="B170">
        <v>20220013137</v>
      </c>
      <c r="C170" s="11" t="s">
        <v>85</v>
      </c>
      <c r="D170" s="11" t="s">
        <v>82</v>
      </c>
      <c r="E170" s="11" t="s">
        <v>77</v>
      </c>
      <c r="F170" s="11" t="s">
        <v>50</v>
      </c>
      <c r="G170">
        <v>1000000</v>
      </c>
      <c r="H170" s="11" t="s">
        <v>51</v>
      </c>
      <c r="I170" s="11" t="s">
        <v>33</v>
      </c>
      <c r="J170" s="10">
        <v>44958</v>
      </c>
    </row>
    <row r="171" spans="1:10" x14ac:dyDescent="0.3">
      <c r="A171" s="10">
        <v>45938</v>
      </c>
      <c r="B171">
        <v>20220013140</v>
      </c>
      <c r="C171" s="11" t="s">
        <v>85</v>
      </c>
      <c r="D171" s="11" t="s">
        <v>82</v>
      </c>
      <c r="E171" s="11" t="s">
        <v>77</v>
      </c>
      <c r="F171" s="11" t="s">
        <v>50</v>
      </c>
      <c r="G171">
        <v>800000</v>
      </c>
      <c r="H171" s="11" t="s">
        <v>51</v>
      </c>
      <c r="I171" s="11" t="s">
        <v>33</v>
      </c>
      <c r="J171" s="10">
        <v>44958</v>
      </c>
    </row>
    <row r="172" spans="1:10" x14ac:dyDescent="0.3">
      <c r="A172" s="10">
        <v>45938</v>
      </c>
      <c r="B172">
        <v>20220013143</v>
      </c>
      <c r="C172" s="11" t="s">
        <v>85</v>
      </c>
      <c r="D172" s="11" t="s">
        <v>82</v>
      </c>
      <c r="E172" s="11" t="s">
        <v>77</v>
      </c>
      <c r="F172" s="11" t="s">
        <v>29</v>
      </c>
      <c r="G172">
        <v>1000000</v>
      </c>
      <c r="H172" s="11" t="s">
        <v>28</v>
      </c>
      <c r="I172" s="11" t="s">
        <v>75</v>
      </c>
      <c r="J172" s="10">
        <v>45717</v>
      </c>
    </row>
    <row r="173" spans="1:10" x14ac:dyDescent="0.3">
      <c r="A173" s="10">
        <v>45938</v>
      </c>
      <c r="B173">
        <v>20220013146</v>
      </c>
      <c r="C173" s="11" t="s">
        <v>85</v>
      </c>
      <c r="D173" s="11" t="s">
        <v>80</v>
      </c>
      <c r="E173" s="11" t="s">
        <v>77</v>
      </c>
      <c r="F173" s="11" t="s">
        <v>9</v>
      </c>
      <c r="G173">
        <v>100000</v>
      </c>
      <c r="H173" s="11" t="s">
        <v>42</v>
      </c>
      <c r="I173" s="11" t="s">
        <v>33</v>
      </c>
      <c r="J173" s="10">
        <v>44958</v>
      </c>
    </row>
    <row r="174" spans="1:10" x14ac:dyDescent="0.3">
      <c r="A174" s="10">
        <v>45938</v>
      </c>
      <c r="B174">
        <v>20220013149</v>
      </c>
      <c r="C174" s="11" t="s">
        <v>85</v>
      </c>
      <c r="D174" s="11" t="s">
        <v>80</v>
      </c>
      <c r="E174" s="11" t="s">
        <v>77</v>
      </c>
      <c r="F174" s="11" t="s">
        <v>4</v>
      </c>
      <c r="G174">
        <v>100000</v>
      </c>
      <c r="H174" s="11" t="s">
        <v>34</v>
      </c>
      <c r="I174" s="11" t="s">
        <v>74</v>
      </c>
      <c r="J174" s="10">
        <v>45536</v>
      </c>
    </row>
    <row r="175" spans="1:10" x14ac:dyDescent="0.3">
      <c r="A175" s="10">
        <v>45938</v>
      </c>
      <c r="B175">
        <v>20220013152</v>
      </c>
      <c r="C175" s="11" t="s">
        <v>85</v>
      </c>
      <c r="D175" s="11" t="s">
        <v>81</v>
      </c>
      <c r="E175" s="11" t="s">
        <v>77</v>
      </c>
      <c r="F175" s="11" t="s">
        <v>14</v>
      </c>
      <c r="G175">
        <v>3000000</v>
      </c>
      <c r="H175" s="11" t="s">
        <v>70</v>
      </c>
      <c r="I175" s="11" t="s">
        <v>74</v>
      </c>
      <c r="J175" s="10">
        <v>45809</v>
      </c>
    </row>
    <row r="176" spans="1:10" x14ac:dyDescent="0.3">
      <c r="A176" s="10">
        <v>45938</v>
      </c>
      <c r="B176">
        <v>20220013155</v>
      </c>
      <c r="C176" s="11" t="s">
        <v>85</v>
      </c>
      <c r="D176" s="11" t="s">
        <v>81</v>
      </c>
      <c r="E176" s="11" t="s">
        <v>77</v>
      </c>
      <c r="F176" s="11" t="s">
        <v>41</v>
      </c>
      <c r="G176">
        <v>100000</v>
      </c>
      <c r="H176" s="11" t="s">
        <v>40</v>
      </c>
      <c r="I176" s="11" t="s">
        <v>33</v>
      </c>
      <c r="J176" s="10">
        <v>45809</v>
      </c>
    </row>
    <row r="177" spans="1:10" x14ac:dyDescent="0.3">
      <c r="A177" s="10">
        <v>45938</v>
      </c>
      <c r="B177">
        <v>20220013158</v>
      </c>
      <c r="C177" s="11" t="s">
        <v>85</v>
      </c>
      <c r="D177" s="11" t="s">
        <v>81</v>
      </c>
      <c r="E177" s="11" t="s">
        <v>77</v>
      </c>
      <c r="F177" s="11" t="s">
        <v>29</v>
      </c>
      <c r="G177">
        <v>100000</v>
      </c>
      <c r="H177" s="11" t="s">
        <v>28</v>
      </c>
      <c r="I177" s="11" t="s">
        <v>75</v>
      </c>
      <c r="J177" s="10">
        <v>45717</v>
      </c>
    </row>
    <row r="178" spans="1:10" x14ac:dyDescent="0.3">
      <c r="A178" s="10">
        <v>45938</v>
      </c>
      <c r="B178">
        <v>20220013161</v>
      </c>
      <c r="C178" s="11" t="s">
        <v>85</v>
      </c>
      <c r="D178" s="11" t="s">
        <v>82</v>
      </c>
      <c r="E178" s="11" t="s">
        <v>77</v>
      </c>
      <c r="F178" s="11" t="s">
        <v>7</v>
      </c>
      <c r="G178">
        <v>750000</v>
      </c>
      <c r="H178" s="11" t="s">
        <v>47</v>
      </c>
      <c r="I178" s="11" t="s">
        <v>33</v>
      </c>
      <c r="J178" s="10">
        <v>44958</v>
      </c>
    </row>
    <row r="179" spans="1:10" x14ac:dyDescent="0.3">
      <c r="A179" s="10">
        <v>45938</v>
      </c>
      <c r="B179">
        <v>20220013164</v>
      </c>
      <c r="C179" s="11" t="s">
        <v>85</v>
      </c>
      <c r="D179" s="11" t="s">
        <v>82</v>
      </c>
      <c r="E179" s="11" t="s">
        <v>77</v>
      </c>
      <c r="F179" s="11" t="s">
        <v>4</v>
      </c>
      <c r="G179">
        <v>1000000</v>
      </c>
      <c r="H179" s="11" t="s">
        <v>34</v>
      </c>
      <c r="I179" s="11" t="s">
        <v>74</v>
      </c>
      <c r="J179" s="10">
        <v>45536</v>
      </c>
    </row>
    <row r="180" spans="1:10" x14ac:dyDescent="0.3">
      <c r="A180" s="10">
        <v>45938</v>
      </c>
      <c r="B180">
        <v>20220013167</v>
      </c>
      <c r="C180" s="11" t="s">
        <v>85</v>
      </c>
      <c r="D180" s="11" t="s">
        <v>82</v>
      </c>
      <c r="E180" s="11" t="s">
        <v>77</v>
      </c>
      <c r="F180" s="11" t="s">
        <v>14</v>
      </c>
      <c r="G180">
        <v>1000000</v>
      </c>
      <c r="H180" s="11" t="s">
        <v>70</v>
      </c>
      <c r="I180" s="11" t="s">
        <v>74</v>
      </c>
      <c r="J180" s="10">
        <v>45809</v>
      </c>
    </row>
    <row r="181" spans="1:10" x14ac:dyDescent="0.3">
      <c r="A181" s="10">
        <v>45938</v>
      </c>
      <c r="B181">
        <v>20220013170</v>
      </c>
      <c r="C181" s="11" t="s">
        <v>85</v>
      </c>
      <c r="D181" s="11" t="s">
        <v>82</v>
      </c>
      <c r="E181" s="11" t="s">
        <v>77</v>
      </c>
      <c r="F181" s="11" t="s">
        <v>44</v>
      </c>
      <c r="G181">
        <v>100000</v>
      </c>
      <c r="H181" s="11" t="s">
        <v>43</v>
      </c>
      <c r="I181" s="11" t="s">
        <v>33</v>
      </c>
      <c r="J181" s="10">
        <v>45901</v>
      </c>
    </row>
    <row r="182" spans="1:10" x14ac:dyDescent="0.3">
      <c r="A182" s="10">
        <v>45938</v>
      </c>
      <c r="B182">
        <v>20220013173</v>
      </c>
      <c r="C182" s="11" t="s">
        <v>85</v>
      </c>
      <c r="D182" s="11" t="s">
        <v>82</v>
      </c>
      <c r="E182" s="11" t="s">
        <v>77</v>
      </c>
      <c r="F182" s="11" t="s">
        <v>29</v>
      </c>
      <c r="G182">
        <v>100000</v>
      </c>
      <c r="H182" s="11" t="s">
        <v>28</v>
      </c>
      <c r="I182" s="11" t="s">
        <v>75</v>
      </c>
      <c r="J182" s="10">
        <v>45717</v>
      </c>
    </row>
    <row r="183" spans="1:10" x14ac:dyDescent="0.3">
      <c r="A183" s="10">
        <v>45938</v>
      </c>
      <c r="B183">
        <v>20220013176</v>
      </c>
      <c r="C183" s="11" t="s">
        <v>85</v>
      </c>
      <c r="D183" s="11" t="s">
        <v>80</v>
      </c>
      <c r="E183" s="11" t="s">
        <v>77</v>
      </c>
      <c r="F183" s="11" t="s">
        <v>8</v>
      </c>
      <c r="G183">
        <v>1000000</v>
      </c>
      <c r="H183" s="11" t="s">
        <v>32</v>
      </c>
      <c r="I183" s="11" t="s">
        <v>33</v>
      </c>
      <c r="J183" s="10">
        <v>45383</v>
      </c>
    </row>
    <row r="184" spans="1:10" x14ac:dyDescent="0.3">
      <c r="A184" s="10">
        <v>45938</v>
      </c>
      <c r="B184">
        <v>20220013179</v>
      </c>
      <c r="C184" s="11" t="s">
        <v>85</v>
      </c>
      <c r="D184" s="11" t="s">
        <v>82</v>
      </c>
      <c r="E184" s="11" t="s">
        <v>77</v>
      </c>
      <c r="F184" s="11" t="s">
        <v>4</v>
      </c>
      <c r="G184">
        <v>100000</v>
      </c>
      <c r="H184" s="11" t="s">
        <v>34</v>
      </c>
      <c r="I184" s="11" t="s">
        <v>74</v>
      </c>
      <c r="J184" s="10">
        <v>45536</v>
      </c>
    </row>
    <row r="185" spans="1:10" x14ac:dyDescent="0.3">
      <c r="A185" s="10">
        <v>45938</v>
      </c>
      <c r="B185">
        <v>20220013182</v>
      </c>
      <c r="C185" s="11" t="s">
        <v>85</v>
      </c>
      <c r="D185" s="11" t="s">
        <v>82</v>
      </c>
      <c r="E185" s="11" t="s">
        <v>77</v>
      </c>
      <c r="F185" s="11" t="s">
        <v>14</v>
      </c>
      <c r="G185">
        <v>750000</v>
      </c>
      <c r="H185" s="11" t="s">
        <v>70</v>
      </c>
      <c r="I185" s="11" t="s">
        <v>74</v>
      </c>
      <c r="J185" s="10">
        <v>45809</v>
      </c>
    </row>
    <row r="186" spans="1:10" x14ac:dyDescent="0.3">
      <c r="A186" s="10">
        <v>45938</v>
      </c>
      <c r="B186">
        <v>20220013185</v>
      </c>
      <c r="C186" s="11" t="s">
        <v>85</v>
      </c>
      <c r="D186" s="11" t="s">
        <v>82</v>
      </c>
      <c r="E186" s="11" t="s">
        <v>77</v>
      </c>
      <c r="F186" s="11" t="s">
        <v>48</v>
      </c>
      <c r="G186">
        <v>100000</v>
      </c>
      <c r="H186" s="11" t="s">
        <v>49</v>
      </c>
      <c r="I186" s="11" t="s">
        <v>33</v>
      </c>
      <c r="J186" s="10">
        <v>45383</v>
      </c>
    </row>
    <row r="187" spans="1:10" x14ac:dyDescent="0.3">
      <c r="A187" s="10">
        <v>45938</v>
      </c>
      <c r="B187">
        <v>20220013188</v>
      </c>
      <c r="C187" s="11" t="s">
        <v>85</v>
      </c>
      <c r="D187" s="11" t="s">
        <v>80</v>
      </c>
      <c r="E187" s="11" t="s">
        <v>77</v>
      </c>
      <c r="F187" s="11" t="s">
        <v>29</v>
      </c>
      <c r="G187">
        <v>100000</v>
      </c>
      <c r="H187" s="11" t="s">
        <v>28</v>
      </c>
      <c r="I187" s="11" t="s">
        <v>75</v>
      </c>
      <c r="J187" s="10">
        <v>45717</v>
      </c>
    </row>
    <row r="188" spans="1:10" x14ac:dyDescent="0.3">
      <c r="A188" s="10">
        <v>45938</v>
      </c>
      <c r="B188">
        <v>20220013191</v>
      </c>
      <c r="C188" s="11" t="s">
        <v>85</v>
      </c>
      <c r="D188" s="11" t="s">
        <v>82</v>
      </c>
      <c r="E188" s="11" t="s">
        <v>77</v>
      </c>
      <c r="F188" s="11" t="s">
        <v>60</v>
      </c>
      <c r="G188">
        <v>100000</v>
      </c>
      <c r="H188" s="11" t="s">
        <v>61</v>
      </c>
      <c r="I188" s="11" t="s">
        <v>75</v>
      </c>
      <c r="J188" s="10">
        <v>45748</v>
      </c>
    </row>
    <row r="189" spans="1:10" x14ac:dyDescent="0.3">
      <c r="A189" s="10">
        <v>45938</v>
      </c>
      <c r="B189">
        <v>20220013194</v>
      </c>
      <c r="C189" s="11" t="s">
        <v>85</v>
      </c>
      <c r="D189" s="11" t="s">
        <v>82</v>
      </c>
      <c r="E189" s="11" t="s">
        <v>77</v>
      </c>
      <c r="F189" s="11" t="s">
        <v>4</v>
      </c>
      <c r="G189">
        <v>1000000</v>
      </c>
      <c r="H189" s="11" t="s">
        <v>34</v>
      </c>
      <c r="I189" s="11" t="s">
        <v>74</v>
      </c>
      <c r="J189" s="10">
        <v>45536</v>
      </c>
    </row>
    <row r="190" spans="1:10" x14ac:dyDescent="0.3">
      <c r="A190" s="10">
        <v>45938</v>
      </c>
      <c r="B190">
        <v>20220013197</v>
      </c>
      <c r="C190" s="11" t="s">
        <v>85</v>
      </c>
      <c r="D190" s="11" t="s">
        <v>82</v>
      </c>
      <c r="E190" s="11" t="s">
        <v>77</v>
      </c>
      <c r="F190" s="11" t="s">
        <v>14</v>
      </c>
      <c r="G190">
        <v>600000</v>
      </c>
      <c r="H190" s="11" t="s">
        <v>70</v>
      </c>
      <c r="I190" s="11" t="s">
        <v>74</v>
      </c>
      <c r="J190" s="10">
        <v>45809</v>
      </c>
    </row>
    <row r="191" spans="1:10" x14ac:dyDescent="0.3">
      <c r="A191" s="10">
        <v>45938</v>
      </c>
      <c r="B191">
        <v>20220013200</v>
      </c>
      <c r="C191" s="11" t="s">
        <v>85</v>
      </c>
      <c r="D191" s="11" t="s">
        <v>82</v>
      </c>
      <c r="E191" s="11" t="s">
        <v>77</v>
      </c>
      <c r="F191" s="11" t="s">
        <v>60</v>
      </c>
      <c r="G191">
        <v>750000</v>
      </c>
      <c r="H191" s="11" t="s">
        <v>61</v>
      </c>
      <c r="I191" s="11" t="s">
        <v>75</v>
      </c>
      <c r="J191" s="10">
        <v>45748</v>
      </c>
    </row>
    <row r="192" spans="1:10" x14ac:dyDescent="0.3">
      <c r="A192" s="10">
        <v>45938</v>
      </c>
      <c r="B192">
        <v>20220013203</v>
      </c>
      <c r="C192" s="11" t="s">
        <v>85</v>
      </c>
      <c r="D192" s="11" t="s">
        <v>82</v>
      </c>
      <c r="E192" s="11" t="s">
        <v>77</v>
      </c>
      <c r="F192" s="11" t="s">
        <v>29</v>
      </c>
      <c r="G192">
        <v>1000000</v>
      </c>
      <c r="H192" s="11" t="s">
        <v>28</v>
      </c>
      <c r="I192" s="11" t="s">
        <v>75</v>
      </c>
      <c r="J192" s="10">
        <v>45717</v>
      </c>
    </row>
    <row r="193" spans="1:10" x14ac:dyDescent="0.3">
      <c r="A193" s="10">
        <v>45938</v>
      </c>
      <c r="B193">
        <v>20220013206</v>
      </c>
      <c r="C193" s="11" t="s">
        <v>85</v>
      </c>
      <c r="D193" s="11" t="s">
        <v>82</v>
      </c>
      <c r="E193" s="11" t="s">
        <v>77</v>
      </c>
      <c r="F193" s="11" t="s">
        <v>13</v>
      </c>
      <c r="G193">
        <v>100000</v>
      </c>
      <c r="H193" s="11" t="s">
        <v>21</v>
      </c>
      <c r="I193" s="11" t="s">
        <v>75</v>
      </c>
      <c r="J193" s="10">
        <v>45383</v>
      </c>
    </row>
    <row r="194" spans="1:10" x14ac:dyDescent="0.3">
      <c r="A194" s="10">
        <v>45938</v>
      </c>
      <c r="B194">
        <v>20220013209</v>
      </c>
      <c r="C194" s="11" t="s">
        <v>85</v>
      </c>
      <c r="D194" s="11" t="s">
        <v>81</v>
      </c>
      <c r="E194" s="11" t="s">
        <v>77</v>
      </c>
      <c r="F194" s="11" t="s">
        <v>4</v>
      </c>
      <c r="G194">
        <v>2100000</v>
      </c>
      <c r="H194" s="11" t="s">
        <v>34</v>
      </c>
      <c r="I194" s="11" t="s">
        <v>74</v>
      </c>
      <c r="J194" s="10">
        <v>45536</v>
      </c>
    </row>
    <row r="195" spans="1:10" x14ac:dyDescent="0.3">
      <c r="A195" s="10">
        <v>45938</v>
      </c>
      <c r="B195">
        <v>20220013212</v>
      </c>
      <c r="C195" s="11" t="s">
        <v>85</v>
      </c>
      <c r="D195" s="11" t="s">
        <v>81</v>
      </c>
      <c r="E195" s="11" t="s">
        <v>77</v>
      </c>
      <c r="F195" s="11" t="s">
        <v>14</v>
      </c>
      <c r="G195">
        <v>100000</v>
      </c>
      <c r="H195" s="11" t="s">
        <v>70</v>
      </c>
      <c r="I195" s="11" t="s">
        <v>74</v>
      </c>
      <c r="J195" s="10">
        <v>45809</v>
      </c>
    </row>
    <row r="196" spans="1:10" x14ac:dyDescent="0.3">
      <c r="A196" s="10">
        <v>45938</v>
      </c>
      <c r="B196">
        <v>20220013215</v>
      </c>
      <c r="C196" s="11" t="s">
        <v>85</v>
      </c>
      <c r="D196" s="11" t="s">
        <v>80</v>
      </c>
      <c r="E196" s="11" t="s">
        <v>77</v>
      </c>
      <c r="F196" s="11" t="s">
        <v>13</v>
      </c>
      <c r="G196">
        <v>100000</v>
      </c>
      <c r="H196" s="11" t="s">
        <v>21</v>
      </c>
      <c r="I196" s="11" t="s">
        <v>75</v>
      </c>
      <c r="J196" s="10">
        <v>45383</v>
      </c>
    </row>
    <row r="197" spans="1:10" x14ac:dyDescent="0.3">
      <c r="A197" s="10">
        <v>45938</v>
      </c>
      <c r="B197">
        <v>20220013218</v>
      </c>
      <c r="C197" s="11" t="s">
        <v>85</v>
      </c>
      <c r="D197" s="11" t="s">
        <v>80</v>
      </c>
      <c r="E197" s="11" t="s">
        <v>77</v>
      </c>
      <c r="F197" s="11" t="s">
        <v>10</v>
      </c>
      <c r="G197">
        <v>100000</v>
      </c>
      <c r="H197" s="11" t="s">
        <v>46</v>
      </c>
      <c r="I197" s="11" t="s">
        <v>75</v>
      </c>
      <c r="J197" s="10">
        <v>44958</v>
      </c>
    </row>
    <row r="198" spans="1:10" x14ac:dyDescent="0.3">
      <c r="A198" s="10">
        <v>45938</v>
      </c>
      <c r="B198">
        <v>20220013221</v>
      </c>
      <c r="C198" s="11" t="s">
        <v>85</v>
      </c>
      <c r="D198" s="11" t="s">
        <v>80</v>
      </c>
      <c r="E198" s="11" t="s">
        <v>77</v>
      </c>
      <c r="F198" s="11" t="s">
        <v>9</v>
      </c>
      <c r="G198">
        <v>1000000</v>
      </c>
      <c r="H198" s="11" t="s">
        <v>42</v>
      </c>
      <c r="I198" s="11" t="s">
        <v>33</v>
      </c>
      <c r="J198" s="10">
        <v>44958</v>
      </c>
    </row>
    <row r="199" spans="1:10" x14ac:dyDescent="0.3">
      <c r="A199" s="10">
        <v>45938</v>
      </c>
      <c r="B199">
        <v>20220013224</v>
      </c>
      <c r="C199" s="11" t="s">
        <v>85</v>
      </c>
      <c r="D199" s="11" t="s">
        <v>81</v>
      </c>
      <c r="E199" s="11" t="s">
        <v>77</v>
      </c>
      <c r="F199" s="11" t="s">
        <v>29</v>
      </c>
      <c r="G199">
        <v>100000</v>
      </c>
      <c r="H199" s="11" t="s">
        <v>28</v>
      </c>
      <c r="I199" s="11" t="s">
        <v>75</v>
      </c>
      <c r="J199" s="10">
        <v>45717</v>
      </c>
    </row>
    <row r="200" spans="1:10" x14ac:dyDescent="0.3">
      <c r="A200" s="10">
        <v>45938</v>
      </c>
      <c r="B200">
        <v>20220013227</v>
      </c>
      <c r="C200" s="11" t="s">
        <v>85</v>
      </c>
      <c r="D200" s="11" t="s">
        <v>82</v>
      </c>
      <c r="E200" s="11" t="s">
        <v>77</v>
      </c>
      <c r="F200" s="11" t="s">
        <v>13</v>
      </c>
      <c r="G200">
        <v>100000</v>
      </c>
      <c r="H200" s="11" t="s">
        <v>21</v>
      </c>
      <c r="I200" s="11" t="s">
        <v>75</v>
      </c>
      <c r="J200" s="10">
        <v>45383</v>
      </c>
    </row>
    <row r="201" spans="1:10" x14ac:dyDescent="0.3">
      <c r="A201" s="10">
        <v>45938</v>
      </c>
      <c r="B201">
        <v>20220013230</v>
      </c>
      <c r="C201" s="11" t="s">
        <v>85</v>
      </c>
      <c r="D201" s="11" t="s">
        <v>81</v>
      </c>
      <c r="E201" s="11" t="s">
        <v>77</v>
      </c>
      <c r="F201" s="11" t="s">
        <v>4</v>
      </c>
      <c r="G201">
        <v>2000000</v>
      </c>
      <c r="H201" s="11" t="s">
        <v>34</v>
      </c>
      <c r="I201" s="11" t="s">
        <v>74</v>
      </c>
      <c r="J201" s="10">
        <v>45536</v>
      </c>
    </row>
    <row r="202" spans="1:10" x14ac:dyDescent="0.3">
      <c r="A202" s="10">
        <v>45938</v>
      </c>
      <c r="B202">
        <v>20220013233</v>
      </c>
      <c r="C202" s="11" t="s">
        <v>85</v>
      </c>
      <c r="D202" s="11" t="s">
        <v>80</v>
      </c>
      <c r="E202" s="11" t="s">
        <v>77</v>
      </c>
      <c r="F202" s="11" t="s">
        <v>14</v>
      </c>
      <c r="G202">
        <v>100000</v>
      </c>
      <c r="H202" s="11" t="s">
        <v>70</v>
      </c>
      <c r="I202" s="11" t="s">
        <v>74</v>
      </c>
      <c r="J202" s="10">
        <v>45809</v>
      </c>
    </row>
    <row r="203" spans="1:10" x14ac:dyDescent="0.3">
      <c r="A203" s="10">
        <v>45938</v>
      </c>
      <c r="B203">
        <v>20220013236</v>
      </c>
      <c r="C203" s="11" t="s">
        <v>85</v>
      </c>
      <c r="D203" s="11" t="s">
        <v>81</v>
      </c>
      <c r="E203" s="11" t="s">
        <v>77</v>
      </c>
      <c r="F203" s="11" t="s">
        <v>13</v>
      </c>
      <c r="G203">
        <v>100000</v>
      </c>
      <c r="H203" s="11" t="s">
        <v>21</v>
      </c>
      <c r="I203" s="11" t="s">
        <v>75</v>
      </c>
      <c r="J203" s="10">
        <v>45383</v>
      </c>
    </row>
    <row r="204" spans="1:10" x14ac:dyDescent="0.3">
      <c r="A204" s="10">
        <v>45938</v>
      </c>
      <c r="B204">
        <v>20220013239</v>
      </c>
      <c r="C204" s="11" t="s">
        <v>85</v>
      </c>
      <c r="D204" s="11" t="s">
        <v>81</v>
      </c>
      <c r="E204" s="11" t="s">
        <v>77</v>
      </c>
      <c r="F204" s="11" t="s">
        <v>6</v>
      </c>
      <c r="G204">
        <v>100000</v>
      </c>
      <c r="H204" s="11" t="s">
        <v>68</v>
      </c>
      <c r="I204" s="11" t="s">
        <v>33</v>
      </c>
      <c r="J204" s="10">
        <v>45505</v>
      </c>
    </row>
    <row r="205" spans="1:10" x14ac:dyDescent="0.3">
      <c r="A205" s="10">
        <v>45938</v>
      </c>
      <c r="B205">
        <v>20220013242</v>
      </c>
      <c r="C205" s="11" t="s">
        <v>85</v>
      </c>
      <c r="D205" s="11" t="s">
        <v>81</v>
      </c>
      <c r="E205" s="11" t="s">
        <v>77</v>
      </c>
      <c r="F205" s="11" t="s">
        <v>13</v>
      </c>
      <c r="G205">
        <v>750000</v>
      </c>
      <c r="H205" s="11" t="s">
        <v>21</v>
      </c>
      <c r="I205" s="11" t="s">
        <v>75</v>
      </c>
      <c r="J205" s="10">
        <v>45383</v>
      </c>
    </row>
    <row r="206" spans="1:10" x14ac:dyDescent="0.3">
      <c r="A206" s="10">
        <v>45938</v>
      </c>
      <c r="B206">
        <v>20220013245</v>
      </c>
      <c r="C206" s="11" t="s">
        <v>85</v>
      </c>
      <c r="D206" s="11" t="s">
        <v>81</v>
      </c>
      <c r="E206" s="11" t="s">
        <v>77</v>
      </c>
      <c r="F206" s="11" t="s">
        <v>64</v>
      </c>
      <c r="G206">
        <v>1000000</v>
      </c>
      <c r="H206" s="11" t="s">
        <v>65</v>
      </c>
      <c r="I206" s="11" t="s">
        <v>33</v>
      </c>
      <c r="J206" s="10">
        <v>45748</v>
      </c>
    </row>
    <row r="207" spans="1:10" x14ac:dyDescent="0.3">
      <c r="A207" s="10">
        <v>45938</v>
      </c>
      <c r="B207">
        <v>20220013248</v>
      </c>
      <c r="C207" s="11" t="s">
        <v>85</v>
      </c>
      <c r="D207" s="11" t="s">
        <v>81</v>
      </c>
      <c r="E207" s="11" t="s">
        <v>77</v>
      </c>
      <c r="F207" s="11" t="s">
        <v>6</v>
      </c>
      <c r="G207">
        <v>750000</v>
      </c>
      <c r="H207" s="11" t="s">
        <v>68</v>
      </c>
      <c r="I207" s="11" t="s">
        <v>33</v>
      </c>
      <c r="J207" s="10">
        <v>45505</v>
      </c>
    </row>
    <row r="208" spans="1:10" x14ac:dyDescent="0.3">
      <c r="A208" s="10">
        <v>45938</v>
      </c>
      <c r="B208">
        <v>20220013251</v>
      </c>
      <c r="C208" s="11" t="s">
        <v>85</v>
      </c>
      <c r="D208" s="11" t="s">
        <v>81</v>
      </c>
      <c r="E208" s="11" t="s">
        <v>77</v>
      </c>
      <c r="F208" s="11" t="s">
        <v>60</v>
      </c>
      <c r="G208">
        <v>100000</v>
      </c>
      <c r="H208" s="11" t="s">
        <v>61</v>
      </c>
      <c r="I208" s="11" t="s">
        <v>75</v>
      </c>
      <c r="J208" s="10">
        <v>45748</v>
      </c>
    </row>
    <row r="209" spans="1:10" x14ac:dyDescent="0.3">
      <c r="A209" s="10">
        <v>45938</v>
      </c>
      <c r="B209">
        <v>20220013254</v>
      </c>
      <c r="C209" s="11" t="s">
        <v>85</v>
      </c>
      <c r="D209" s="11" t="s">
        <v>81</v>
      </c>
      <c r="E209" s="11" t="s">
        <v>77</v>
      </c>
      <c r="F209" s="11" t="s">
        <v>4</v>
      </c>
      <c r="G209">
        <v>750000</v>
      </c>
      <c r="H209" s="11" t="s">
        <v>34</v>
      </c>
      <c r="I209" s="11" t="s">
        <v>74</v>
      </c>
      <c r="J209" s="10">
        <v>45536</v>
      </c>
    </row>
    <row r="210" spans="1:10" x14ac:dyDescent="0.3">
      <c r="A210" s="10">
        <v>45938</v>
      </c>
      <c r="B210">
        <v>20220013257</v>
      </c>
      <c r="C210" s="11" t="s">
        <v>85</v>
      </c>
      <c r="D210" s="11" t="s">
        <v>81</v>
      </c>
      <c r="E210" s="11" t="s">
        <v>77</v>
      </c>
      <c r="F210" s="11" t="s">
        <v>14</v>
      </c>
      <c r="G210">
        <v>1000000</v>
      </c>
      <c r="H210" s="11" t="s">
        <v>70</v>
      </c>
      <c r="I210" s="11" t="s">
        <v>74</v>
      </c>
      <c r="J210" s="10">
        <v>45809</v>
      </c>
    </row>
    <row r="211" spans="1:10" x14ac:dyDescent="0.3">
      <c r="A211" s="10">
        <v>45938</v>
      </c>
      <c r="B211">
        <v>20220013260</v>
      </c>
      <c r="C211" s="11" t="s">
        <v>85</v>
      </c>
      <c r="D211" s="11" t="s">
        <v>80</v>
      </c>
      <c r="E211" s="11" t="s">
        <v>77</v>
      </c>
      <c r="F211" s="11" t="s">
        <v>14</v>
      </c>
      <c r="G211">
        <v>100000</v>
      </c>
      <c r="H211" s="11" t="s">
        <v>70</v>
      </c>
      <c r="I211" s="11" t="s">
        <v>74</v>
      </c>
      <c r="J211" s="10">
        <v>45809</v>
      </c>
    </row>
    <row r="212" spans="1:10" x14ac:dyDescent="0.3">
      <c r="A212" s="10">
        <v>45938</v>
      </c>
      <c r="B212">
        <v>20220013263</v>
      </c>
      <c r="C212" s="11" t="s">
        <v>85</v>
      </c>
      <c r="D212" s="11" t="s">
        <v>80</v>
      </c>
      <c r="E212" s="11" t="s">
        <v>77</v>
      </c>
      <c r="F212" s="11" t="s">
        <v>13</v>
      </c>
      <c r="G212">
        <v>100000</v>
      </c>
      <c r="H212" s="11" t="s">
        <v>21</v>
      </c>
      <c r="I212" s="11" t="s">
        <v>75</v>
      </c>
      <c r="J212" s="10">
        <v>45383</v>
      </c>
    </row>
    <row r="213" spans="1:10" x14ac:dyDescent="0.3">
      <c r="A213" s="10">
        <v>45938</v>
      </c>
      <c r="B213">
        <v>20220013266</v>
      </c>
      <c r="C213" s="11" t="s">
        <v>85</v>
      </c>
      <c r="D213" s="11" t="s">
        <v>81</v>
      </c>
      <c r="E213" s="11" t="s">
        <v>77</v>
      </c>
      <c r="F213" s="11" t="s">
        <v>6</v>
      </c>
      <c r="G213">
        <v>100000</v>
      </c>
      <c r="H213" s="11" t="s">
        <v>68</v>
      </c>
      <c r="I213" s="11" t="s">
        <v>33</v>
      </c>
      <c r="J213" s="10">
        <v>45505</v>
      </c>
    </row>
    <row r="214" spans="1:10" x14ac:dyDescent="0.3">
      <c r="A214" s="10">
        <v>45938</v>
      </c>
      <c r="B214">
        <v>20220013269</v>
      </c>
      <c r="C214" s="11" t="s">
        <v>85</v>
      </c>
      <c r="D214" s="11" t="s">
        <v>81</v>
      </c>
      <c r="E214" s="11" t="s">
        <v>77</v>
      </c>
      <c r="F214" s="11" t="s">
        <v>13</v>
      </c>
      <c r="G214">
        <v>1000000</v>
      </c>
      <c r="H214" s="11" t="s">
        <v>21</v>
      </c>
      <c r="I214" s="11" t="s">
        <v>75</v>
      </c>
      <c r="J214" s="10">
        <v>45383</v>
      </c>
    </row>
    <row r="215" spans="1:10" x14ac:dyDescent="0.3">
      <c r="A215" s="10">
        <v>45938</v>
      </c>
      <c r="B215">
        <v>20220013272</v>
      </c>
      <c r="C215" s="11" t="s">
        <v>85</v>
      </c>
      <c r="D215" s="11" t="s">
        <v>81</v>
      </c>
      <c r="E215" s="11" t="s">
        <v>77</v>
      </c>
      <c r="F215" s="11" t="s">
        <v>64</v>
      </c>
      <c r="G215">
        <v>100000</v>
      </c>
      <c r="H215" s="11" t="s">
        <v>65</v>
      </c>
      <c r="I215" s="11" t="s">
        <v>33</v>
      </c>
      <c r="J215" s="10">
        <v>45748</v>
      </c>
    </row>
    <row r="216" spans="1:10" x14ac:dyDescent="0.3">
      <c r="A216" s="10">
        <v>45938</v>
      </c>
      <c r="B216">
        <v>20220013275</v>
      </c>
      <c r="C216" s="11" t="s">
        <v>85</v>
      </c>
      <c r="D216" s="11" t="s">
        <v>81</v>
      </c>
      <c r="E216" s="11" t="s">
        <v>77</v>
      </c>
      <c r="F216" s="11" t="s">
        <v>6</v>
      </c>
      <c r="G216">
        <v>750000</v>
      </c>
      <c r="H216" s="11" t="s">
        <v>68</v>
      </c>
      <c r="I216" s="11" t="s">
        <v>33</v>
      </c>
      <c r="J216" s="10">
        <v>45505</v>
      </c>
    </row>
    <row r="217" spans="1:10" x14ac:dyDescent="0.3">
      <c r="A217" s="10">
        <v>45938</v>
      </c>
      <c r="B217">
        <v>20220013278</v>
      </c>
      <c r="C217" s="11" t="s">
        <v>85</v>
      </c>
      <c r="D217" s="11" t="s">
        <v>81</v>
      </c>
      <c r="E217" s="11" t="s">
        <v>77</v>
      </c>
      <c r="F217" s="11" t="s">
        <v>60</v>
      </c>
      <c r="G217">
        <v>100000</v>
      </c>
      <c r="H217" s="11" t="s">
        <v>61</v>
      </c>
      <c r="I217" s="11" t="s">
        <v>75</v>
      </c>
      <c r="J217" s="10">
        <v>45748</v>
      </c>
    </row>
    <row r="218" spans="1:10" x14ac:dyDescent="0.3">
      <c r="A218" s="10">
        <v>45938</v>
      </c>
      <c r="B218">
        <v>20220013281</v>
      </c>
      <c r="C218" s="11" t="s">
        <v>85</v>
      </c>
      <c r="D218" s="11" t="s">
        <v>80</v>
      </c>
      <c r="E218" s="11" t="s">
        <v>77</v>
      </c>
      <c r="F218" s="11" t="s">
        <v>4</v>
      </c>
      <c r="G218">
        <v>100000</v>
      </c>
      <c r="H218" s="11" t="s">
        <v>34</v>
      </c>
      <c r="I218" s="11" t="s">
        <v>74</v>
      </c>
      <c r="J218" s="10">
        <v>45536</v>
      </c>
    </row>
    <row r="219" spans="1:10" x14ac:dyDescent="0.3">
      <c r="A219" s="10">
        <v>45938</v>
      </c>
      <c r="B219">
        <v>20220013284</v>
      </c>
      <c r="C219" s="11" t="s">
        <v>85</v>
      </c>
      <c r="D219" s="11" t="s">
        <v>80</v>
      </c>
      <c r="E219" s="11" t="s">
        <v>77</v>
      </c>
      <c r="F219" s="11" t="s">
        <v>14</v>
      </c>
      <c r="G219">
        <v>750000</v>
      </c>
      <c r="H219" s="11" t="s">
        <v>70</v>
      </c>
      <c r="I219" s="11" t="s">
        <v>74</v>
      </c>
      <c r="J219" s="10">
        <v>45809</v>
      </c>
    </row>
    <row r="220" spans="1:10" x14ac:dyDescent="0.3">
      <c r="A220" s="10">
        <v>45938</v>
      </c>
      <c r="B220">
        <v>20220013287</v>
      </c>
      <c r="C220" s="11" t="s">
        <v>85</v>
      </c>
      <c r="D220" s="11" t="s">
        <v>80</v>
      </c>
      <c r="E220" s="11" t="s">
        <v>77</v>
      </c>
      <c r="F220" s="11" t="s">
        <v>29</v>
      </c>
      <c r="G220">
        <v>450000</v>
      </c>
      <c r="H220" s="11" t="s">
        <v>28</v>
      </c>
      <c r="I220" s="11" t="s">
        <v>75</v>
      </c>
      <c r="J220" s="10">
        <v>45717</v>
      </c>
    </row>
    <row r="221" spans="1:10" x14ac:dyDescent="0.3">
      <c r="A221" s="10">
        <v>45938</v>
      </c>
      <c r="B221">
        <v>20220013290</v>
      </c>
      <c r="C221" s="11" t="s">
        <v>85</v>
      </c>
      <c r="D221" s="11" t="s">
        <v>81</v>
      </c>
      <c r="E221" s="11" t="s">
        <v>77</v>
      </c>
      <c r="F221" s="11" t="s">
        <v>41</v>
      </c>
      <c r="G221">
        <v>1000000</v>
      </c>
      <c r="H221" s="11" t="s">
        <v>40</v>
      </c>
      <c r="I221" s="11" t="s">
        <v>33</v>
      </c>
      <c r="J221" s="10">
        <v>45809</v>
      </c>
    </row>
    <row r="222" spans="1:10" x14ac:dyDescent="0.3">
      <c r="A222" s="10">
        <v>45938</v>
      </c>
      <c r="B222">
        <v>20220013293</v>
      </c>
      <c r="C222" s="11" t="s">
        <v>85</v>
      </c>
      <c r="D222" s="11" t="s">
        <v>81</v>
      </c>
      <c r="E222" s="11" t="s">
        <v>77</v>
      </c>
      <c r="F222" s="11" t="s">
        <v>4</v>
      </c>
      <c r="G222">
        <v>100000</v>
      </c>
      <c r="H222" s="11" t="s">
        <v>34</v>
      </c>
      <c r="I222" s="11" t="s">
        <v>74</v>
      </c>
      <c r="J222" s="10">
        <v>45536</v>
      </c>
    </row>
    <row r="223" spans="1:10" x14ac:dyDescent="0.3">
      <c r="A223" s="10">
        <v>45938</v>
      </c>
      <c r="B223">
        <v>20220013296</v>
      </c>
      <c r="C223" s="11" t="s">
        <v>85</v>
      </c>
      <c r="D223" s="11" t="s">
        <v>81</v>
      </c>
      <c r="E223" s="11" t="s">
        <v>77</v>
      </c>
      <c r="F223" s="11" t="s">
        <v>14</v>
      </c>
      <c r="G223">
        <v>100000</v>
      </c>
      <c r="H223" s="11" t="s">
        <v>70</v>
      </c>
      <c r="I223" s="11" t="s">
        <v>74</v>
      </c>
      <c r="J223" s="10">
        <v>45809</v>
      </c>
    </row>
    <row r="224" spans="1:10" x14ac:dyDescent="0.3">
      <c r="A224" s="10">
        <v>45938</v>
      </c>
      <c r="B224">
        <v>20220013299</v>
      </c>
      <c r="C224" s="11" t="s">
        <v>85</v>
      </c>
      <c r="D224" s="11" t="s">
        <v>81</v>
      </c>
      <c r="E224" s="11" t="s">
        <v>77</v>
      </c>
      <c r="F224" s="11" t="s">
        <v>7</v>
      </c>
      <c r="G224">
        <v>750000</v>
      </c>
      <c r="H224" s="11" t="s">
        <v>47</v>
      </c>
      <c r="I224" s="11" t="s">
        <v>33</v>
      </c>
      <c r="J224" s="10">
        <v>44958</v>
      </c>
    </row>
    <row r="225" spans="1:10" x14ac:dyDescent="0.3">
      <c r="A225" s="10">
        <v>45938</v>
      </c>
      <c r="B225">
        <v>20220013302</v>
      </c>
      <c r="C225" s="11" t="s">
        <v>85</v>
      </c>
      <c r="D225" s="11" t="s">
        <v>80</v>
      </c>
      <c r="E225" s="11" t="s">
        <v>77</v>
      </c>
      <c r="F225" s="11" t="s">
        <v>64</v>
      </c>
      <c r="G225">
        <v>100000</v>
      </c>
      <c r="H225" s="11" t="s">
        <v>65</v>
      </c>
      <c r="I225" s="11" t="s">
        <v>33</v>
      </c>
      <c r="J225" s="10">
        <v>45748</v>
      </c>
    </row>
    <row r="226" spans="1:10" x14ac:dyDescent="0.3">
      <c r="A226" s="10">
        <v>45938</v>
      </c>
      <c r="B226">
        <v>20220013305</v>
      </c>
      <c r="C226" s="11" t="s">
        <v>85</v>
      </c>
      <c r="D226" s="11" t="s">
        <v>80</v>
      </c>
      <c r="E226" s="11" t="s">
        <v>77</v>
      </c>
      <c r="F226" s="11" t="s">
        <v>64</v>
      </c>
      <c r="G226">
        <v>750000</v>
      </c>
      <c r="H226" s="11" t="s">
        <v>65</v>
      </c>
      <c r="I226" s="11" t="s">
        <v>33</v>
      </c>
      <c r="J226" s="10">
        <v>45748</v>
      </c>
    </row>
    <row r="227" spans="1:10" x14ac:dyDescent="0.3">
      <c r="A227" s="10">
        <v>45938</v>
      </c>
      <c r="B227">
        <v>20220013308</v>
      </c>
      <c r="C227" s="11" t="s">
        <v>85</v>
      </c>
      <c r="D227" s="11" t="s">
        <v>80</v>
      </c>
      <c r="E227" s="11" t="s">
        <v>77</v>
      </c>
      <c r="F227" s="11" t="s">
        <v>64</v>
      </c>
      <c r="G227">
        <v>100000</v>
      </c>
      <c r="H227" s="11" t="s">
        <v>65</v>
      </c>
      <c r="I227" s="11" t="s">
        <v>33</v>
      </c>
      <c r="J227" s="10">
        <v>45748</v>
      </c>
    </row>
    <row r="228" spans="1:10" x14ac:dyDescent="0.3">
      <c r="A228" s="10">
        <v>45938</v>
      </c>
      <c r="B228">
        <v>20220013311</v>
      </c>
      <c r="C228" s="11" t="s">
        <v>85</v>
      </c>
      <c r="D228" s="11" t="s">
        <v>80</v>
      </c>
      <c r="E228" s="11" t="s">
        <v>77</v>
      </c>
      <c r="F228" s="11" t="s">
        <v>64</v>
      </c>
      <c r="G228">
        <v>750000</v>
      </c>
      <c r="H228" s="11" t="s">
        <v>65</v>
      </c>
      <c r="I228" s="11" t="s">
        <v>33</v>
      </c>
      <c r="J228" s="10">
        <v>45748</v>
      </c>
    </row>
    <row r="229" spans="1:10" x14ac:dyDescent="0.3">
      <c r="A229" s="10">
        <v>45938</v>
      </c>
      <c r="B229">
        <v>20220013314</v>
      </c>
      <c r="C229" s="11" t="s">
        <v>85</v>
      </c>
      <c r="D229" s="11" t="s">
        <v>80</v>
      </c>
      <c r="E229" s="11" t="s">
        <v>77</v>
      </c>
      <c r="F229" s="11" t="s">
        <v>44</v>
      </c>
      <c r="G229">
        <v>750000</v>
      </c>
      <c r="H229" s="11" t="s">
        <v>43</v>
      </c>
      <c r="I229" s="11" t="s">
        <v>33</v>
      </c>
      <c r="J229" s="10">
        <v>45901</v>
      </c>
    </row>
    <row r="230" spans="1:10" x14ac:dyDescent="0.3">
      <c r="A230" s="10">
        <v>45938</v>
      </c>
      <c r="B230">
        <v>20220013317</v>
      </c>
      <c r="C230" s="11" t="s">
        <v>85</v>
      </c>
      <c r="D230" s="11" t="s">
        <v>80</v>
      </c>
      <c r="E230" s="11" t="s">
        <v>77</v>
      </c>
      <c r="F230" s="11" t="s">
        <v>64</v>
      </c>
      <c r="G230">
        <v>1000000</v>
      </c>
      <c r="H230" s="11" t="s">
        <v>65</v>
      </c>
      <c r="I230" s="11" t="s">
        <v>33</v>
      </c>
      <c r="J230" s="10">
        <v>45748</v>
      </c>
    </row>
    <row r="231" spans="1:10" x14ac:dyDescent="0.3">
      <c r="A231" s="10">
        <v>45938</v>
      </c>
      <c r="B231">
        <v>20220013320</v>
      </c>
      <c r="C231" s="11" t="s">
        <v>85</v>
      </c>
      <c r="D231" s="11" t="s">
        <v>80</v>
      </c>
      <c r="E231" s="11" t="s">
        <v>77</v>
      </c>
      <c r="F231" s="11" t="s">
        <v>64</v>
      </c>
      <c r="G231">
        <v>100000</v>
      </c>
      <c r="H231" s="11" t="s">
        <v>65</v>
      </c>
      <c r="I231" s="11" t="s">
        <v>33</v>
      </c>
      <c r="J231" s="10">
        <v>45748</v>
      </c>
    </row>
    <row r="232" spans="1:10" x14ac:dyDescent="0.3">
      <c r="A232" s="10">
        <v>45938</v>
      </c>
      <c r="B232">
        <v>20220013323</v>
      </c>
      <c r="C232" s="11" t="s">
        <v>85</v>
      </c>
      <c r="D232" s="11" t="s">
        <v>80</v>
      </c>
      <c r="E232" s="11" t="s">
        <v>77</v>
      </c>
      <c r="F232" s="11" t="s">
        <v>64</v>
      </c>
      <c r="G232">
        <v>750000</v>
      </c>
      <c r="H232" s="11" t="s">
        <v>65</v>
      </c>
      <c r="I232" s="11" t="s">
        <v>33</v>
      </c>
      <c r="J232" s="10">
        <v>45748</v>
      </c>
    </row>
    <row r="233" spans="1:10" x14ac:dyDescent="0.3">
      <c r="A233" s="10">
        <v>45938</v>
      </c>
      <c r="B233">
        <v>20220013326</v>
      </c>
      <c r="C233" s="11" t="s">
        <v>85</v>
      </c>
      <c r="D233" s="11" t="s">
        <v>80</v>
      </c>
      <c r="E233" s="11" t="s">
        <v>77</v>
      </c>
      <c r="F233" s="11" t="s">
        <v>64</v>
      </c>
      <c r="G233">
        <v>750000</v>
      </c>
      <c r="H233" s="11" t="s">
        <v>65</v>
      </c>
      <c r="I233" s="11" t="s">
        <v>33</v>
      </c>
      <c r="J233" s="10">
        <v>45748</v>
      </c>
    </row>
    <row r="234" spans="1:10" x14ac:dyDescent="0.3">
      <c r="A234" s="10">
        <v>45938</v>
      </c>
      <c r="B234">
        <v>20220013329</v>
      </c>
      <c r="C234" s="11" t="s">
        <v>85</v>
      </c>
      <c r="D234" s="11" t="s">
        <v>80</v>
      </c>
      <c r="E234" s="11" t="s">
        <v>77</v>
      </c>
      <c r="F234" s="11" t="s">
        <v>64</v>
      </c>
      <c r="G234">
        <v>1000000</v>
      </c>
      <c r="H234" s="11" t="s">
        <v>65</v>
      </c>
      <c r="I234" s="11" t="s">
        <v>33</v>
      </c>
      <c r="J234" s="10">
        <v>45748</v>
      </c>
    </row>
    <row r="235" spans="1:10" x14ac:dyDescent="0.3">
      <c r="A235" s="10">
        <v>45938</v>
      </c>
      <c r="B235">
        <v>20220013332</v>
      </c>
      <c r="C235" s="11" t="s">
        <v>85</v>
      </c>
      <c r="D235" s="11" t="s">
        <v>81</v>
      </c>
      <c r="E235" s="11" t="s">
        <v>77</v>
      </c>
      <c r="F235" s="11" t="s">
        <v>64</v>
      </c>
      <c r="G235">
        <v>1000000</v>
      </c>
      <c r="H235" s="11" t="s">
        <v>65</v>
      </c>
      <c r="I235" s="11" t="s">
        <v>33</v>
      </c>
      <c r="J235" s="10">
        <v>45748</v>
      </c>
    </row>
    <row r="236" spans="1:10" x14ac:dyDescent="0.3">
      <c r="A236" s="10">
        <v>45938</v>
      </c>
      <c r="B236">
        <v>20220013335</v>
      </c>
      <c r="C236" s="11" t="s">
        <v>85</v>
      </c>
      <c r="D236" s="11" t="s">
        <v>80</v>
      </c>
      <c r="E236" s="11" t="s">
        <v>77</v>
      </c>
      <c r="F236" s="11" t="s">
        <v>64</v>
      </c>
      <c r="G236">
        <v>100000</v>
      </c>
      <c r="H236" s="11" t="s">
        <v>65</v>
      </c>
      <c r="I236" s="11" t="s">
        <v>33</v>
      </c>
      <c r="J236" s="10">
        <v>45748</v>
      </c>
    </row>
    <row r="237" spans="1:10" x14ac:dyDescent="0.3">
      <c r="A237" s="10">
        <v>45938</v>
      </c>
      <c r="B237">
        <v>20220013338</v>
      </c>
      <c r="C237" s="11" t="s">
        <v>85</v>
      </c>
      <c r="D237" s="11" t="s">
        <v>81</v>
      </c>
      <c r="E237" s="11" t="s">
        <v>77</v>
      </c>
      <c r="F237" s="11" t="s">
        <v>64</v>
      </c>
      <c r="G237">
        <v>600000</v>
      </c>
      <c r="H237" s="11" t="s">
        <v>65</v>
      </c>
      <c r="I237" s="11" t="s">
        <v>33</v>
      </c>
      <c r="J237" s="10">
        <v>45748</v>
      </c>
    </row>
    <row r="238" spans="1:10" x14ac:dyDescent="0.3">
      <c r="A238" s="10">
        <v>45938</v>
      </c>
      <c r="B238">
        <v>20220013341</v>
      </c>
      <c r="C238" s="11" t="s">
        <v>85</v>
      </c>
      <c r="D238" s="11" t="s">
        <v>81</v>
      </c>
      <c r="E238" s="11" t="s">
        <v>77</v>
      </c>
      <c r="F238" s="11" t="s">
        <v>62</v>
      </c>
      <c r="G238">
        <v>750000</v>
      </c>
      <c r="H238" s="11" t="s">
        <v>63</v>
      </c>
      <c r="I238" s="11" t="s">
        <v>75</v>
      </c>
      <c r="J238" s="10">
        <v>45778</v>
      </c>
    </row>
    <row r="239" spans="1:10" x14ac:dyDescent="0.3">
      <c r="A239" s="10">
        <v>45938</v>
      </c>
      <c r="B239">
        <v>20220013344</v>
      </c>
      <c r="C239" s="11" t="s">
        <v>85</v>
      </c>
      <c r="D239" s="11" t="s">
        <v>80</v>
      </c>
      <c r="E239" s="11" t="s">
        <v>77</v>
      </c>
      <c r="F239" s="11" t="s">
        <v>62</v>
      </c>
      <c r="G239">
        <v>1000000</v>
      </c>
      <c r="H239" s="11" t="s">
        <v>63</v>
      </c>
      <c r="I239" s="11" t="s">
        <v>75</v>
      </c>
      <c r="J239" s="10">
        <v>45778</v>
      </c>
    </row>
    <row r="240" spans="1:10" x14ac:dyDescent="0.3">
      <c r="A240" s="10">
        <v>45938</v>
      </c>
      <c r="B240">
        <v>20220013347</v>
      </c>
      <c r="C240" s="11" t="s">
        <v>85</v>
      </c>
      <c r="D240" s="11" t="s">
        <v>80</v>
      </c>
      <c r="E240" s="11" t="s">
        <v>77</v>
      </c>
      <c r="F240" s="11" t="s">
        <v>62</v>
      </c>
      <c r="G240">
        <v>100000</v>
      </c>
      <c r="H240" s="11" t="s">
        <v>63</v>
      </c>
      <c r="I240" s="11" t="s">
        <v>75</v>
      </c>
      <c r="J240" s="10">
        <v>45778</v>
      </c>
    </row>
    <row r="241" spans="1:10" x14ac:dyDescent="0.3">
      <c r="A241" s="10">
        <v>45938</v>
      </c>
      <c r="B241">
        <v>20220013350</v>
      </c>
      <c r="C241" s="11" t="s">
        <v>85</v>
      </c>
      <c r="D241" s="11" t="s">
        <v>81</v>
      </c>
      <c r="E241" s="11" t="s">
        <v>77</v>
      </c>
      <c r="F241" s="11" t="s">
        <v>62</v>
      </c>
      <c r="G241">
        <v>750000</v>
      </c>
      <c r="H241" s="11" t="s">
        <v>63</v>
      </c>
      <c r="I241" s="11" t="s">
        <v>75</v>
      </c>
      <c r="J241" s="10">
        <v>45778</v>
      </c>
    </row>
    <row r="242" spans="1:10" x14ac:dyDescent="0.3">
      <c r="A242" s="10">
        <v>45938</v>
      </c>
      <c r="B242">
        <v>20220013353</v>
      </c>
      <c r="C242" s="11" t="s">
        <v>85</v>
      </c>
      <c r="D242" s="11" t="s">
        <v>80</v>
      </c>
      <c r="E242" s="11" t="s">
        <v>77</v>
      </c>
      <c r="F242" s="11" t="s">
        <v>62</v>
      </c>
      <c r="G242">
        <v>1000000</v>
      </c>
      <c r="H242" s="11" t="s">
        <v>63</v>
      </c>
      <c r="I242" s="11" t="s">
        <v>75</v>
      </c>
      <c r="J242" s="10">
        <v>45778</v>
      </c>
    </row>
    <row r="243" spans="1:10" x14ac:dyDescent="0.3">
      <c r="A243" s="10">
        <v>45939</v>
      </c>
      <c r="B243">
        <v>20220013356</v>
      </c>
      <c r="C243" s="11" t="s">
        <v>85</v>
      </c>
      <c r="D243" s="11" t="s">
        <v>81</v>
      </c>
      <c r="E243" s="11" t="s">
        <v>77</v>
      </c>
      <c r="F243" s="11" t="s">
        <v>10</v>
      </c>
      <c r="G243">
        <v>100000</v>
      </c>
      <c r="H243" s="11" t="s">
        <v>46</v>
      </c>
      <c r="I243" s="11" t="s">
        <v>75</v>
      </c>
      <c r="J243" s="10">
        <v>44958</v>
      </c>
    </row>
    <row r="244" spans="1:10" x14ac:dyDescent="0.3">
      <c r="A244" s="10">
        <v>45939</v>
      </c>
      <c r="B244">
        <v>20220013359</v>
      </c>
      <c r="C244" s="11" t="s">
        <v>85</v>
      </c>
      <c r="D244" s="11" t="s">
        <v>81</v>
      </c>
      <c r="E244" s="11" t="s">
        <v>77</v>
      </c>
      <c r="F244" s="11" t="s">
        <v>10</v>
      </c>
      <c r="G244">
        <v>100000</v>
      </c>
      <c r="H244" s="11" t="s">
        <v>46</v>
      </c>
      <c r="I244" s="11" t="s">
        <v>75</v>
      </c>
      <c r="J244" s="10">
        <v>44958</v>
      </c>
    </row>
    <row r="245" spans="1:10" x14ac:dyDescent="0.3">
      <c r="A245" s="10">
        <v>45939</v>
      </c>
      <c r="B245">
        <v>20220013362</v>
      </c>
      <c r="C245" s="11" t="s">
        <v>85</v>
      </c>
      <c r="D245" s="11" t="s">
        <v>81</v>
      </c>
      <c r="E245" s="11" t="s">
        <v>77</v>
      </c>
      <c r="F245" s="11" t="s">
        <v>10</v>
      </c>
      <c r="G245">
        <v>1000000</v>
      </c>
      <c r="H245" s="11" t="s">
        <v>46</v>
      </c>
      <c r="I245" s="11" t="s">
        <v>75</v>
      </c>
      <c r="J245" s="10">
        <v>44958</v>
      </c>
    </row>
    <row r="246" spans="1:10" x14ac:dyDescent="0.3">
      <c r="A246" s="10">
        <v>45939</v>
      </c>
      <c r="B246">
        <v>20220013365</v>
      </c>
      <c r="C246" s="11" t="s">
        <v>85</v>
      </c>
      <c r="D246" s="11" t="s">
        <v>81</v>
      </c>
      <c r="E246" s="11" t="s">
        <v>77</v>
      </c>
      <c r="F246" s="11" t="s">
        <v>64</v>
      </c>
      <c r="G246">
        <v>750000</v>
      </c>
      <c r="H246" s="11" t="s">
        <v>65</v>
      </c>
      <c r="I246" s="11" t="s">
        <v>33</v>
      </c>
      <c r="J246" s="10">
        <v>45748</v>
      </c>
    </row>
    <row r="247" spans="1:10" x14ac:dyDescent="0.3">
      <c r="A247" s="10">
        <v>45939</v>
      </c>
      <c r="B247">
        <v>20220013368</v>
      </c>
      <c r="C247" s="11" t="s">
        <v>85</v>
      </c>
      <c r="D247" s="11" t="s">
        <v>81</v>
      </c>
      <c r="E247" s="11" t="s">
        <v>77</v>
      </c>
      <c r="F247" s="11" t="s">
        <v>62</v>
      </c>
      <c r="G247">
        <v>750000</v>
      </c>
      <c r="H247" s="11" t="s">
        <v>63</v>
      </c>
      <c r="I247" s="11" t="s">
        <v>75</v>
      </c>
      <c r="J247" s="10">
        <v>45778</v>
      </c>
    </row>
    <row r="248" spans="1:10" x14ac:dyDescent="0.3">
      <c r="A248" s="10">
        <v>45940</v>
      </c>
      <c r="B248">
        <v>20220013371</v>
      </c>
      <c r="C248" s="11" t="s">
        <v>85</v>
      </c>
      <c r="D248" s="11" t="s">
        <v>81</v>
      </c>
      <c r="E248" s="11" t="s">
        <v>77</v>
      </c>
      <c r="F248" s="11" t="s">
        <v>7</v>
      </c>
      <c r="G248">
        <v>100000</v>
      </c>
      <c r="H248" s="11" t="s">
        <v>47</v>
      </c>
      <c r="I248" s="11" t="s">
        <v>33</v>
      </c>
      <c r="J248" s="10">
        <v>44958</v>
      </c>
    </row>
    <row r="249" spans="1:10" x14ac:dyDescent="0.3">
      <c r="A249" s="10">
        <v>45940</v>
      </c>
      <c r="B249">
        <v>20220013374</v>
      </c>
      <c r="C249" s="11" t="s">
        <v>85</v>
      </c>
      <c r="D249" s="11" t="s">
        <v>81</v>
      </c>
      <c r="E249" s="11" t="s">
        <v>77</v>
      </c>
      <c r="F249" s="11" t="s">
        <v>4</v>
      </c>
      <c r="G249">
        <v>1000000</v>
      </c>
      <c r="H249" s="11" t="s">
        <v>34</v>
      </c>
      <c r="I249" s="11" t="s">
        <v>74</v>
      </c>
      <c r="J249" s="10">
        <v>45536</v>
      </c>
    </row>
    <row r="250" spans="1:10" x14ac:dyDescent="0.3">
      <c r="A250" s="10">
        <v>45940</v>
      </c>
      <c r="B250">
        <v>20220013377</v>
      </c>
      <c r="C250" s="11" t="s">
        <v>85</v>
      </c>
      <c r="D250" s="11" t="s">
        <v>81</v>
      </c>
      <c r="E250" s="11" t="s">
        <v>77</v>
      </c>
      <c r="F250" s="11" t="s">
        <v>8</v>
      </c>
      <c r="G250">
        <v>750000</v>
      </c>
      <c r="H250" s="11" t="s">
        <v>32</v>
      </c>
      <c r="I250" s="11" t="s">
        <v>33</v>
      </c>
      <c r="J250" s="10">
        <v>45383</v>
      </c>
    </row>
    <row r="251" spans="1:10" x14ac:dyDescent="0.3">
      <c r="A251" s="10">
        <v>45940</v>
      </c>
      <c r="B251">
        <v>20220013380</v>
      </c>
      <c r="C251" s="11" t="s">
        <v>85</v>
      </c>
      <c r="D251" s="11" t="s">
        <v>81</v>
      </c>
      <c r="E251" s="11" t="s">
        <v>77</v>
      </c>
      <c r="F251" s="11" t="s">
        <v>4</v>
      </c>
      <c r="G251">
        <v>100000</v>
      </c>
      <c r="H251" s="11" t="s">
        <v>34</v>
      </c>
      <c r="I251" s="11" t="s">
        <v>74</v>
      </c>
      <c r="J251" s="10">
        <v>45536</v>
      </c>
    </row>
    <row r="252" spans="1:10" x14ac:dyDescent="0.3">
      <c r="A252" s="10">
        <v>45940</v>
      </c>
      <c r="B252">
        <v>20220013383</v>
      </c>
      <c r="C252" s="11" t="s">
        <v>85</v>
      </c>
      <c r="D252" s="11" t="s">
        <v>80</v>
      </c>
      <c r="E252" s="11" t="s">
        <v>77</v>
      </c>
      <c r="F252" s="11" t="s">
        <v>8</v>
      </c>
      <c r="G252">
        <v>100000</v>
      </c>
      <c r="H252" s="11" t="s">
        <v>32</v>
      </c>
      <c r="I252" s="11" t="s">
        <v>33</v>
      </c>
      <c r="J252" s="10">
        <v>45383</v>
      </c>
    </row>
    <row r="253" spans="1:10" x14ac:dyDescent="0.3">
      <c r="A253" s="10">
        <v>45940</v>
      </c>
      <c r="B253">
        <v>20220013386</v>
      </c>
      <c r="C253" s="11" t="s">
        <v>85</v>
      </c>
      <c r="D253" s="11" t="s">
        <v>81</v>
      </c>
      <c r="E253" s="11" t="s">
        <v>77</v>
      </c>
      <c r="F253" s="11" t="s">
        <v>4</v>
      </c>
      <c r="G253">
        <v>100000</v>
      </c>
      <c r="H253" s="11" t="s">
        <v>34</v>
      </c>
      <c r="I253" s="11" t="s">
        <v>74</v>
      </c>
      <c r="J253" s="10">
        <v>45536</v>
      </c>
    </row>
    <row r="254" spans="1:10" x14ac:dyDescent="0.3">
      <c r="A254" s="10">
        <v>45940</v>
      </c>
      <c r="B254">
        <v>20220013389</v>
      </c>
      <c r="C254" s="11" t="s">
        <v>85</v>
      </c>
      <c r="D254" s="11" t="s">
        <v>81</v>
      </c>
      <c r="E254" s="11" t="s">
        <v>77</v>
      </c>
      <c r="F254" s="11" t="s">
        <v>4</v>
      </c>
      <c r="G254">
        <v>750000</v>
      </c>
      <c r="H254" s="11" t="s">
        <v>34</v>
      </c>
      <c r="I254" s="11" t="s">
        <v>74</v>
      </c>
      <c r="J254" s="10">
        <v>45536</v>
      </c>
    </row>
    <row r="255" spans="1:10" x14ac:dyDescent="0.3">
      <c r="A255" s="10">
        <v>45940</v>
      </c>
      <c r="B255">
        <v>20220013392</v>
      </c>
      <c r="C255" s="11" t="s">
        <v>85</v>
      </c>
      <c r="D255" s="11" t="s">
        <v>81</v>
      </c>
      <c r="E255" s="11" t="s">
        <v>77</v>
      </c>
      <c r="F255" s="11" t="s">
        <v>44</v>
      </c>
      <c r="G255">
        <v>750000</v>
      </c>
      <c r="H255" s="11" t="s">
        <v>43</v>
      </c>
      <c r="I255" s="11" t="s">
        <v>33</v>
      </c>
      <c r="J255" s="10">
        <v>45901</v>
      </c>
    </row>
    <row r="256" spans="1:10" x14ac:dyDescent="0.3">
      <c r="A256" s="10">
        <v>45940</v>
      </c>
      <c r="B256">
        <v>20220013395</v>
      </c>
      <c r="C256" s="11" t="s">
        <v>85</v>
      </c>
      <c r="D256" s="11" t="s">
        <v>81</v>
      </c>
      <c r="E256" s="11" t="s">
        <v>77</v>
      </c>
      <c r="F256" s="11" t="s">
        <v>64</v>
      </c>
      <c r="G256">
        <v>1000000</v>
      </c>
      <c r="H256" s="11" t="s">
        <v>65</v>
      </c>
      <c r="I256" s="11" t="s">
        <v>33</v>
      </c>
      <c r="J256" s="10">
        <v>45748</v>
      </c>
    </row>
    <row r="257" spans="1:10" x14ac:dyDescent="0.3">
      <c r="A257" s="10">
        <v>45940</v>
      </c>
      <c r="B257">
        <v>20220013398</v>
      </c>
      <c r="C257" s="11" t="s">
        <v>85</v>
      </c>
      <c r="D257" s="11" t="s">
        <v>81</v>
      </c>
      <c r="E257" s="11" t="s">
        <v>77</v>
      </c>
      <c r="F257" s="11" t="s">
        <v>64</v>
      </c>
      <c r="G257">
        <v>750000</v>
      </c>
      <c r="H257" s="11" t="s">
        <v>65</v>
      </c>
      <c r="I257" s="11" t="s">
        <v>33</v>
      </c>
      <c r="J257" s="10">
        <v>45748</v>
      </c>
    </row>
    <row r="258" spans="1:10" x14ac:dyDescent="0.3">
      <c r="A258" s="10">
        <v>45940</v>
      </c>
      <c r="B258">
        <v>20220013401</v>
      </c>
      <c r="C258" s="11" t="s">
        <v>85</v>
      </c>
      <c r="D258" s="11" t="s">
        <v>80</v>
      </c>
      <c r="E258" s="11" t="s">
        <v>77</v>
      </c>
      <c r="F258" s="11" t="s">
        <v>62</v>
      </c>
      <c r="G258">
        <v>750000</v>
      </c>
      <c r="H258" s="11" t="s">
        <v>63</v>
      </c>
      <c r="I258" s="11" t="s">
        <v>75</v>
      </c>
      <c r="J258" s="10">
        <v>45778</v>
      </c>
    </row>
    <row r="259" spans="1:10" x14ac:dyDescent="0.3">
      <c r="A259" s="10">
        <v>45941</v>
      </c>
      <c r="B259">
        <v>20220013404</v>
      </c>
      <c r="C259" s="11" t="s">
        <v>85</v>
      </c>
      <c r="D259" s="11" t="s">
        <v>80</v>
      </c>
      <c r="E259" s="11" t="s">
        <v>77</v>
      </c>
      <c r="F259" s="11" t="s">
        <v>4</v>
      </c>
      <c r="G259">
        <v>1000000</v>
      </c>
      <c r="H259" s="11" t="s">
        <v>34</v>
      </c>
      <c r="I259" s="11" t="s">
        <v>74</v>
      </c>
      <c r="J259" s="10">
        <v>45536</v>
      </c>
    </row>
    <row r="260" spans="1:10" x14ac:dyDescent="0.3">
      <c r="A260" s="10">
        <v>45941</v>
      </c>
      <c r="B260">
        <v>20220013407</v>
      </c>
      <c r="C260" s="11" t="s">
        <v>85</v>
      </c>
      <c r="D260" s="11" t="s">
        <v>80</v>
      </c>
      <c r="E260" s="11" t="s">
        <v>77</v>
      </c>
      <c r="F260" s="11" t="s">
        <v>56</v>
      </c>
      <c r="G260">
        <v>100000</v>
      </c>
      <c r="H260" s="11" t="s">
        <v>57</v>
      </c>
      <c r="I260" s="11" t="s">
        <v>74</v>
      </c>
      <c r="J260" s="10">
        <v>45566</v>
      </c>
    </row>
    <row r="261" spans="1:10" x14ac:dyDescent="0.3">
      <c r="A261" s="10">
        <v>45942</v>
      </c>
      <c r="B261">
        <v>20220013410</v>
      </c>
      <c r="C261" s="11" t="s">
        <v>85</v>
      </c>
      <c r="D261" s="11" t="s">
        <v>81</v>
      </c>
      <c r="E261" s="11" t="s">
        <v>77</v>
      </c>
      <c r="F261" s="11" t="s">
        <v>3</v>
      </c>
      <c r="G261">
        <v>100000</v>
      </c>
      <c r="H261" s="11" t="s">
        <v>27</v>
      </c>
      <c r="I261" s="11" t="s">
        <v>74</v>
      </c>
      <c r="J261" s="10">
        <v>44958</v>
      </c>
    </row>
    <row r="262" spans="1:10" x14ac:dyDescent="0.3">
      <c r="A262" s="10">
        <v>45942</v>
      </c>
      <c r="B262">
        <v>20220013413</v>
      </c>
      <c r="C262" s="11" t="s">
        <v>85</v>
      </c>
      <c r="D262" s="11" t="s">
        <v>81</v>
      </c>
      <c r="E262" s="11" t="s">
        <v>77</v>
      </c>
      <c r="F262" s="11" t="s">
        <v>8</v>
      </c>
      <c r="G262">
        <v>100000</v>
      </c>
      <c r="H262" s="11" t="s">
        <v>32</v>
      </c>
      <c r="I262" s="11" t="s">
        <v>33</v>
      </c>
      <c r="J262" s="10">
        <v>45383</v>
      </c>
    </row>
    <row r="263" spans="1:10" x14ac:dyDescent="0.3">
      <c r="A263" s="10">
        <v>45942</v>
      </c>
      <c r="B263">
        <v>20220013416</v>
      </c>
      <c r="C263" s="11" t="s">
        <v>85</v>
      </c>
      <c r="D263" s="11" t="s">
        <v>80</v>
      </c>
      <c r="E263" s="11" t="s">
        <v>77</v>
      </c>
      <c r="F263" s="11" t="s">
        <v>2</v>
      </c>
      <c r="G263">
        <v>750000</v>
      </c>
      <c r="H263" s="11" t="s">
        <v>25</v>
      </c>
      <c r="I263" s="11" t="s">
        <v>75</v>
      </c>
      <c r="J263" s="10">
        <v>45809</v>
      </c>
    </row>
    <row r="264" spans="1:10" x14ac:dyDescent="0.3">
      <c r="A264" s="10">
        <v>45942</v>
      </c>
      <c r="B264">
        <v>20220013419</v>
      </c>
      <c r="C264" s="11" t="s">
        <v>85</v>
      </c>
      <c r="D264" s="11" t="s">
        <v>80</v>
      </c>
      <c r="E264" s="11" t="s">
        <v>77</v>
      </c>
      <c r="F264" s="11" t="s">
        <v>44</v>
      </c>
      <c r="G264">
        <v>500000</v>
      </c>
      <c r="H264" s="11" t="s">
        <v>43</v>
      </c>
      <c r="I264" s="11" t="s">
        <v>33</v>
      </c>
      <c r="J264" s="10">
        <v>45901</v>
      </c>
    </row>
    <row r="265" spans="1:10" x14ac:dyDescent="0.3">
      <c r="A265" s="10">
        <v>45942</v>
      </c>
      <c r="B265">
        <v>20220013422</v>
      </c>
      <c r="C265" s="11" t="s">
        <v>85</v>
      </c>
      <c r="D265" s="11" t="s">
        <v>81</v>
      </c>
      <c r="E265" s="11" t="s">
        <v>77</v>
      </c>
      <c r="F265" s="11" t="s">
        <v>14</v>
      </c>
      <c r="G265">
        <v>100000</v>
      </c>
      <c r="H265" s="11" t="s">
        <v>70</v>
      </c>
      <c r="I265" s="11" t="s">
        <v>74</v>
      </c>
      <c r="J265" s="10">
        <v>45809</v>
      </c>
    </row>
    <row r="266" spans="1:10" x14ac:dyDescent="0.3">
      <c r="A266" s="10">
        <v>45942</v>
      </c>
      <c r="B266">
        <v>20220013425</v>
      </c>
      <c r="C266" s="11" t="s">
        <v>85</v>
      </c>
      <c r="D266" s="11" t="s">
        <v>81</v>
      </c>
      <c r="E266" s="11" t="s">
        <v>77</v>
      </c>
      <c r="F266" s="11" t="s">
        <v>8</v>
      </c>
      <c r="G266">
        <v>1000000</v>
      </c>
      <c r="H266" s="11" t="s">
        <v>32</v>
      </c>
      <c r="I266" s="11" t="s">
        <v>33</v>
      </c>
      <c r="J266" s="10">
        <v>45383</v>
      </c>
    </row>
    <row r="267" spans="1:10" x14ac:dyDescent="0.3">
      <c r="A267" s="10">
        <v>45942</v>
      </c>
      <c r="B267">
        <v>20220013428</v>
      </c>
      <c r="C267" s="11" t="s">
        <v>85</v>
      </c>
      <c r="D267" s="11" t="s">
        <v>81</v>
      </c>
      <c r="E267" s="11" t="s">
        <v>77</v>
      </c>
      <c r="F267" s="11" t="s">
        <v>3</v>
      </c>
      <c r="G267">
        <v>750000</v>
      </c>
      <c r="H267" s="11" t="s">
        <v>27</v>
      </c>
      <c r="I267" s="11" t="s">
        <v>74</v>
      </c>
      <c r="J267" s="10">
        <v>44958</v>
      </c>
    </row>
    <row r="268" spans="1:10" x14ac:dyDescent="0.3">
      <c r="A268" s="10">
        <v>45942</v>
      </c>
      <c r="B268">
        <v>20220013431</v>
      </c>
      <c r="C268" s="11" t="s">
        <v>85</v>
      </c>
      <c r="D268" s="11" t="s">
        <v>81</v>
      </c>
      <c r="E268" s="11" t="s">
        <v>77</v>
      </c>
      <c r="F268" s="11" t="s">
        <v>3</v>
      </c>
      <c r="G268">
        <v>750000</v>
      </c>
      <c r="H268" s="11" t="s">
        <v>27</v>
      </c>
      <c r="I268" s="11" t="s">
        <v>74</v>
      </c>
      <c r="J268" s="10">
        <v>44958</v>
      </c>
    </row>
    <row r="269" spans="1:10" x14ac:dyDescent="0.3">
      <c r="A269" s="10">
        <v>45942</v>
      </c>
      <c r="B269">
        <v>20220013434</v>
      </c>
      <c r="C269" s="11" t="s">
        <v>85</v>
      </c>
      <c r="D269" s="11" t="s">
        <v>81</v>
      </c>
      <c r="E269" s="11" t="s">
        <v>77</v>
      </c>
      <c r="F269" s="11" t="s">
        <v>41</v>
      </c>
      <c r="G269">
        <v>350000</v>
      </c>
      <c r="H269" s="11" t="s">
        <v>40</v>
      </c>
      <c r="I269" s="11" t="s">
        <v>33</v>
      </c>
      <c r="J269" s="10">
        <v>45809</v>
      </c>
    </row>
    <row r="270" spans="1:10" x14ac:dyDescent="0.3">
      <c r="A270" s="10">
        <v>45942</v>
      </c>
      <c r="B270">
        <v>20220013437</v>
      </c>
      <c r="C270" s="11" t="s">
        <v>85</v>
      </c>
      <c r="D270" s="11" t="s">
        <v>81</v>
      </c>
      <c r="E270" s="11" t="s">
        <v>77</v>
      </c>
      <c r="F270" s="11" t="s">
        <v>2</v>
      </c>
      <c r="G270">
        <v>1000000</v>
      </c>
      <c r="H270" s="11" t="s">
        <v>25</v>
      </c>
      <c r="I270" s="11" t="s">
        <v>75</v>
      </c>
      <c r="J270" s="10">
        <v>45809</v>
      </c>
    </row>
    <row r="271" spans="1:10" x14ac:dyDescent="0.3">
      <c r="A271" s="10">
        <v>45942</v>
      </c>
      <c r="B271">
        <v>20220013440</v>
      </c>
      <c r="C271" s="11" t="s">
        <v>85</v>
      </c>
      <c r="D271" s="11" t="s">
        <v>81</v>
      </c>
      <c r="E271" s="11" t="s">
        <v>77</v>
      </c>
      <c r="F271" s="11" t="s">
        <v>14</v>
      </c>
      <c r="G271">
        <v>300000</v>
      </c>
      <c r="H271" s="11" t="s">
        <v>70</v>
      </c>
      <c r="I271" s="11" t="s">
        <v>74</v>
      </c>
      <c r="J271" s="10">
        <v>45809</v>
      </c>
    </row>
    <row r="272" spans="1:10" x14ac:dyDescent="0.3">
      <c r="A272" s="10">
        <v>45942</v>
      </c>
      <c r="B272">
        <v>20220013443</v>
      </c>
      <c r="C272" s="11" t="s">
        <v>85</v>
      </c>
      <c r="D272" s="11" t="s">
        <v>80</v>
      </c>
      <c r="E272" s="11" t="s">
        <v>77</v>
      </c>
      <c r="F272" s="11" t="s">
        <v>7</v>
      </c>
      <c r="G272">
        <v>750000</v>
      </c>
      <c r="H272" s="11" t="s">
        <v>47</v>
      </c>
      <c r="I272" s="11" t="s">
        <v>33</v>
      </c>
      <c r="J272" s="10">
        <v>44958</v>
      </c>
    </row>
    <row r="273" spans="1:10" x14ac:dyDescent="0.3">
      <c r="A273" s="10">
        <v>45943</v>
      </c>
      <c r="B273">
        <v>20220013446</v>
      </c>
      <c r="C273" s="11" t="s">
        <v>85</v>
      </c>
      <c r="D273" s="11" t="s">
        <v>82</v>
      </c>
      <c r="E273" s="11" t="s">
        <v>77</v>
      </c>
      <c r="F273" s="11" t="s">
        <v>6</v>
      </c>
      <c r="G273">
        <v>100000</v>
      </c>
      <c r="H273" s="11" t="s">
        <v>68</v>
      </c>
      <c r="I273" s="11" t="s">
        <v>33</v>
      </c>
      <c r="J273" s="10">
        <v>45505</v>
      </c>
    </row>
    <row r="274" spans="1:10" x14ac:dyDescent="0.3">
      <c r="A274" s="10">
        <v>45943</v>
      </c>
      <c r="B274">
        <v>20220013449</v>
      </c>
      <c r="C274" s="11" t="s">
        <v>85</v>
      </c>
      <c r="D274" s="11" t="s">
        <v>81</v>
      </c>
      <c r="E274" s="11" t="s">
        <v>77</v>
      </c>
      <c r="F274" s="11" t="s">
        <v>44</v>
      </c>
      <c r="G274">
        <v>750000</v>
      </c>
      <c r="H274" s="11" t="s">
        <v>43</v>
      </c>
      <c r="I274" s="11" t="s">
        <v>33</v>
      </c>
      <c r="J274" s="10">
        <v>45901</v>
      </c>
    </row>
    <row r="275" spans="1:10" x14ac:dyDescent="0.3">
      <c r="A275" s="10">
        <v>45943</v>
      </c>
      <c r="B275">
        <v>20220013452</v>
      </c>
      <c r="C275" s="11" t="s">
        <v>85</v>
      </c>
      <c r="D275" s="11" t="s">
        <v>80</v>
      </c>
      <c r="E275" s="11" t="s">
        <v>77</v>
      </c>
      <c r="F275" s="11" t="s">
        <v>8</v>
      </c>
      <c r="G275">
        <v>100000</v>
      </c>
      <c r="H275" s="11" t="s">
        <v>32</v>
      </c>
      <c r="I275" s="11" t="s">
        <v>33</v>
      </c>
      <c r="J275" s="10">
        <v>45383</v>
      </c>
    </row>
    <row r="276" spans="1:10" x14ac:dyDescent="0.3">
      <c r="A276" s="10">
        <v>45943</v>
      </c>
      <c r="B276">
        <v>20220013455</v>
      </c>
      <c r="C276" s="11" t="s">
        <v>85</v>
      </c>
      <c r="D276" s="11" t="s">
        <v>80</v>
      </c>
      <c r="E276" s="11" t="s">
        <v>77</v>
      </c>
      <c r="F276" s="11" t="s">
        <v>44</v>
      </c>
      <c r="G276">
        <v>100000</v>
      </c>
      <c r="H276" s="11" t="s">
        <v>43</v>
      </c>
      <c r="I276" s="11" t="s">
        <v>33</v>
      </c>
      <c r="J276" s="10">
        <v>45901</v>
      </c>
    </row>
    <row r="277" spans="1:10" x14ac:dyDescent="0.3">
      <c r="A277" s="10">
        <v>45943</v>
      </c>
      <c r="B277">
        <v>20220013458</v>
      </c>
      <c r="C277" s="11" t="s">
        <v>85</v>
      </c>
      <c r="D277" s="11" t="s">
        <v>80</v>
      </c>
      <c r="E277" s="11" t="s">
        <v>77</v>
      </c>
      <c r="F277" s="11" t="s">
        <v>48</v>
      </c>
      <c r="G277">
        <v>750000</v>
      </c>
      <c r="H277" s="11" t="s">
        <v>49</v>
      </c>
      <c r="I277" s="11" t="s">
        <v>33</v>
      </c>
      <c r="J277" s="10">
        <v>45383</v>
      </c>
    </row>
    <row r="278" spans="1:10" x14ac:dyDescent="0.3">
      <c r="A278" s="10">
        <v>45943</v>
      </c>
      <c r="B278">
        <v>20220013461</v>
      </c>
      <c r="C278" s="11" t="s">
        <v>85</v>
      </c>
      <c r="D278" s="11" t="s">
        <v>80</v>
      </c>
      <c r="E278" s="11" t="s">
        <v>77</v>
      </c>
      <c r="F278" s="11" t="s">
        <v>8</v>
      </c>
      <c r="G278">
        <v>100000</v>
      </c>
      <c r="H278" s="11" t="s">
        <v>32</v>
      </c>
      <c r="I278" s="11" t="s">
        <v>33</v>
      </c>
      <c r="J278" s="10">
        <v>45383</v>
      </c>
    </row>
    <row r="279" spans="1:10" x14ac:dyDescent="0.3">
      <c r="A279" s="10">
        <v>45944</v>
      </c>
      <c r="B279">
        <v>20220013464</v>
      </c>
      <c r="C279" s="11" t="s">
        <v>85</v>
      </c>
      <c r="D279" s="11" t="s">
        <v>82</v>
      </c>
      <c r="E279" s="11" t="s">
        <v>77</v>
      </c>
      <c r="F279" s="11" t="s">
        <v>8</v>
      </c>
      <c r="G279">
        <v>100000</v>
      </c>
      <c r="H279" s="11" t="s">
        <v>32</v>
      </c>
      <c r="I279" s="11" t="s">
        <v>33</v>
      </c>
      <c r="J279" s="10">
        <v>45383</v>
      </c>
    </row>
    <row r="280" spans="1:10" x14ac:dyDescent="0.3">
      <c r="A280" s="10">
        <v>45944</v>
      </c>
      <c r="B280">
        <v>20220013467</v>
      </c>
      <c r="C280" s="11" t="s">
        <v>85</v>
      </c>
      <c r="D280" s="11" t="s">
        <v>80</v>
      </c>
      <c r="E280" s="11" t="s">
        <v>77</v>
      </c>
      <c r="F280" s="11" t="s">
        <v>16</v>
      </c>
      <c r="G280">
        <v>600000</v>
      </c>
      <c r="H280" s="11" t="s">
        <v>37</v>
      </c>
      <c r="I280" s="11" t="s">
        <v>74</v>
      </c>
      <c r="J280" s="10">
        <v>45566</v>
      </c>
    </row>
    <row r="281" spans="1:10" x14ac:dyDescent="0.3">
      <c r="A281" s="10">
        <v>45944</v>
      </c>
      <c r="B281">
        <v>20220013470</v>
      </c>
      <c r="C281" s="11" t="s">
        <v>85</v>
      </c>
      <c r="D281" s="11" t="s">
        <v>81</v>
      </c>
      <c r="E281" s="11" t="s">
        <v>77</v>
      </c>
      <c r="F281" s="11" t="s">
        <v>41</v>
      </c>
      <c r="G281">
        <v>1000000</v>
      </c>
      <c r="H281" s="11" t="s">
        <v>40</v>
      </c>
      <c r="I281" s="11" t="s">
        <v>33</v>
      </c>
      <c r="J281" s="10">
        <v>45809</v>
      </c>
    </row>
    <row r="282" spans="1:10" x14ac:dyDescent="0.3">
      <c r="A282" s="10">
        <v>45944</v>
      </c>
      <c r="B282">
        <v>20220013473</v>
      </c>
      <c r="C282" s="11" t="s">
        <v>85</v>
      </c>
      <c r="D282" s="11" t="s">
        <v>80</v>
      </c>
      <c r="E282" s="11" t="s">
        <v>77</v>
      </c>
      <c r="F282" s="11" t="s">
        <v>6</v>
      </c>
      <c r="G282">
        <v>100000</v>
      </c>
      <c r="H282" s="11" t="s">
        <v>68</v>
      </c>
      <c r="I282" s="11" t="s">
        <v>33</v>
      </c>
      <c r="J282" s="10">
        <v>45505</v>
      </c>
    </row>
    <row r="283" spans="1:10" x14ac:dyDescent="0.3">
      <c r="A283" s="10">
        <v>45944</v>
      </c>
      <c r="B283">
        <v>20220013476</v>
      </c>
      <c r="C283" s="11" t="s">
        <v>85</v>
      </c>
      <c r="D283" s="11" t="s">
        <v>80</v>
      </c>
      <c r="E283" s="11" t="s">
        <v>77</v>
      </c>
      <c r="F283" s="11" t="s">
        <v>6</v>
      </c>
      <c r="G283">
        <v>100000</v>
      </c>
      <c r="H283" s="11" t="s">
        <v>68</v>
      </c>
      <c r="I283" s="11" t="s">
        <v>33</v>
      </c>
      <c r="J283" s="10">
        <v>45505</v>
      </c>
    </row>
    <row r="284" spans="1:10" x14ac:dyDescent="0.3">
      <c r="A284" s="10">
        <v>45944</v>
      </c>
      <c r="B284">
        <v>20220013479</v>
      </c>
      <c r="C284" s="11" t="s">
        <v>85</v>
      </c>
      <c r="D284" s="11" t="s">
        <v>80</v>
      </c>
      <c r="E284" s="11" t="s">
        <v>77</v>
      </c>
      <c r="F284" s="11" t="s">
        <v>8</v>
      </c>
      <c r="G284">
        <v>100000</v>
      </c>
      <c r="H284" s="11" t="s">
        <v>32</v>
      </c>
      <c r="I284" s="11" t="s">
        <v>33</v>
      </c>
      <c r="J284" s="10">
        <v>45383</v>
      </c>
    </row>
    <row r="285" spans="1:10" x14ac:dyDescent="0.3">
      <c r="A285" s="10">
        <v>45944</v>
      </c>
      <c r="B285">
        <v>20220013482</v>
      </c>
      <c r="C285" s="11" t="s">
        <v>85</v>
      </c>
      <c r="D285" s="11" t="s">
        <v>80</v>
      </c>
      <c r="E285" s="11" t="s">
        <v>77</v>
      </c>
      <c r="F285" s="11" t="s">
        <v>8</v>
      </c>
      <c r="G285">
        <v>750000</v>
      </c>
      <c r="H285" s="11" t="s">
        <v>32</v>
      </c>
      <c r="I285" s="11" t="s">
        <v>33</v>
      </c>
      <c r="J285" s="10">
        <v>45383</v>
      </c>
    </row>
    <row r="286" spans="1:10" x14ac:dyDescent="0.3">
      <c r="A286" s="10">
        <v>45944</v>
      </c>
      <c r="B286">
        <v>20220013485</v>
      </c>
      <c r="C286" s="11" t="s">
        <v>85</v>
      </c>
      <c r="D286" s="11" t="s">
        <v>80</v>
      </c>
      <c r="E286" s="11" t="s">
        <v>77</v>
      </c>
      <c r="F286" s="11" t="s">
        <v>17</v>
      </c>
      <c r="G286">
        <v>100000</v>
      </c>
      <c r="H286" s="11" t="s">
        <v>24</v>
      </c>
      <c r="I286" s="11" t="s">
        <v>74</v>
      </c>
      <c r="J286" s="10">
        <v>45383</v>
      </c>
    </row>
    <row r="287" spans="1:10" x14ac:dyDescent="0.3">
      <c r="A287" s="10">
        <v>45944</v>
      </c>
      <c r="B287">
        <v>20220013488</v>
      </c>
      <c r="C287" s="11" t="s">
        <v>85</v>
      </c>
      <c r="D287" s="11" t="s">
        <v>80</v>
      </c>
      <c r="E287" s="11" t="s">
        <v>77</v>
      </c>
      <c r="F287" s="11" t="s">
        <v>17</v>
      </c>
      <c r="G287">
        <v>100000</v>
      </c>
      <c r="H287" s="11" t="s">
        <v>24</v>
      </c>
      <c r="I287" s="11" t="s">
        <v>74</v>
      </c>
      <c r="J287" s="10">
        <v>45383</v>
      </c>
    </row>
    <row r="288" spans="1:10" x14ac:dyDescent="0.3">
      <c r="A288" s="10">
        <v>45944</v>
      </c>
      <c r="B288">
        <v>20220013491</v>
      </c>
      <c r="C288" s="11" t="s">
        <v>85</v>
      </c>
      <c r="D288" s="11" t="s">
        <v>80</v>
      </c>
      <c r="E288" s="11" t="s">
        <v>77</v>
      </c>
      <c r="F288" s="11" t="s">
        <v>16</v>
      </c>
      <c r="G288">
        <v>1000000</v>
      </c>
      <c r="H288" s="11" t="s">
        <v>37</v>
      </c>
      <c r="I288" s="11" t="s">
        <v>74</v>
      </c>
      <c r="J288" s="10">
        <v>45566</v>
      </c>
    </row>
    <row r="289" spans="1:10" x14ac:dyDescent="0.3">
      <c r="A289" s="10">
        <v>45944</v>
      </c>
      <c r="B289">
        <v>20220013494</v>
      </c>
      <c r="C289" s="11" t="s">
        <v>85</v>
      </c>
      <c r="D289" s="11" t="s">
        <v>80</v>
      </c>
      <c r="E289" s="11" t="s">
        <v>77</v>
      </c>
      <c r="F289" s="11" t="s">
        <v>44</v>
      </c>
      <c r="G289">
        <v>750000</v>
      </c>
      <c r="H289" s="11" t="s">
        <v>43</v>
      </c>
      <c r="I289" s="11" t="s">
        <v>33</v>
      </c>
      <c r="J289" s="10">
        <v>45901</v>
      </c>
    </row>
    <row r="290" spans="1:10" x14ac:dyDescent="0.3">
      <c r="A290" s="10">
        <v>45944</v>
      </c>
      <c r="B290">
        <v>20220013497</v>
      </c>
      <c r="C290" s="11" t="s">
        <v>85</v>
      </c>
      <c r="D290" s="11" t="s">
        <v>80</v>
      </c>
      <c r="E290" s="11" t="s">
        <v>77</v>
      </c>
      <c r="F290" s="11" t="s">
        <v>8</v>
      </c>
      <c r="G290">
        <v>750000</v>
      </c>
      <c r="H290" s="11" t="s">
        <v>32</v>
      </c>
      <c r="I290" s="11" t="s">
        <v>33</v>
      </c>
      <c r="J290" s="10">
        <v>45383</v>
      </c>
    </row>
    <row r="291" spans="1:10" x14ac:dyDescent="0.3">
      <c r="A291" s="10">
        <v>45944</v>
      </c>
      <c r="B291">
        <v>20220013500</v>
      </c>
      <c r="C291" s="11" t="s">
        <v>85</v>
      </c>
      <c r="D291" s="11" t="s">
        <v>80</v>
      </c>
      <c r="E291" s="11" t="s">
        <v>77</v>
      </c>
      <c r="F291" s="11" t="s">
        <v>6</v>
      </c>
      <c r="G291">
        <v>750000</v>
      </c>
      <c r="H291" s="11" t="s">
        <v>68</v>
      </c>
      <c r="I291" s="11" t="s">
        <v>33</v>
      </c>
      <c r="J291" s="10">
        <v>45505</v>
      </c>
    </row>
    <row r="292" spans="1:10" x14ac:dyDescent="0.3">
      <c r="A292" s="10">
        <v>45944</v>
      </c>
      <c r="B292">
        <v>20220013503</v>
      </c>
      <c r="C292" s="11" t="s">
        <v>85</v>
      </c>
      <c r="D292" s="11" t="s">
        <v>80</v>
      </c>
      <c r="E292" s="11" t="s">
        <v>77</v>
      </c>
      <c r="F292" s="11" t="s">
        <v>44</v>
      </c>
      <c r="G292">
        <v>750000</v>
      </c>
      <c r="H292" s="11" t="s">
        <v>43</v>
      </c>
      <c r="I292" s="11" t="s">
        <v>33</v>
      </c>
      <c r="J292" s="10">
        <v>45901</v>
      </c>
    </row>
    <row r="293" spans="1:10" x14ac:dyDescent="0.3">
      <c r="A293" s="10">
        <v>45944</v>
      </c>
      <c r="B293">
        <v>20220013506</v>
      </c>
      <c r="C293" s="11" t="s">
        <v>85</v>
      </c>
      <c r="D293" s="11" t="s">
        <v>80</v>
      </c>
      <c r="E293" s="11" t="s">
        <v>77</v>
      </c>
      <c r="F293" s="11" t="s">
        <v>8</v>
      </c>
      <c r="G293">
        <v>100000</v>
      </c>
      <c r="H293" s="11" t="s">
        <v>32</v>
      </c>
      <c r="I293" s="11" t="s">
        <v>33</v>
      </c>
      <c r="J293" s="10">
        <v>45383</v>
      </c>
    </row>
    <row r="294" spans="1:10" x14ac:dyDescent="0.3">
      <c r="A294" s="10">
        <v>45944</v>
      </c>
      <c r="B294">
        <v>20220013509</v>
      </c>
      <c r="C294" s="11" t="s">
        <v>85</v>
      </c>
      <c r="D294" s="11" t="s">
        <v>80</v>
      </c>
      <c r="E294" s="11" t="s">
        <v>77</v>
      </c>
      <c r="F294" s="11" t="s">
        <v>41</v>
      </c>
      <c r="G294">
        <v>750000</v>
      </c>
      <c r="H294" s="11" t="s">
        <v>40</v>
      </c>
      <c r="I294" s="11" t="s">
        <v>33</v>
      </c>
      <c r="J294" s="10">
        <v>45809</v>
      </c>
    </row>
    <row r="295" spans="1:10" x14ac:dyDescent="0.3">
      <c r="A295" s="10">
        <v>45944</v>
      </c>
      <c r="B295">
        <v>20220013512</v>
      </c>
      <c r="C295" s="11" t="s">
        <v>85</v>
      </c>
      <c r="D295" s="11" t="s">
        <v>80</v>
      </c>
      <c r="E295" s="11" t="s">
        <v>77</v>
      </c>
      <c r="F295" s="11" t="s">
        <v>17</v>
      </c>
      <c r="G295">
        <v>100000</v>
      </c>
      <c r="H295" s="11" t="s">
        <v>24</v>
      </c>
      <c r="I295" s="11" t="s">
        <v>74</v>
      </c>
      <c r="J295" s="10">
        <v>45383</v>
      </c>
    </row>
    <row r="296" spans="1:10" x14ac:dyDescent="0.3">
      <c r="A296" s="10">
        <v>45944</v>
      </c>
      <c r="B296">
        <v>20220013515</v>
      </c>
      <c r="C296" s="11" t="s">
        <v>85</v>
      </c>
      <c r="D296" s="11" t="s">
        <v>80</v>
      </c>
      <c r="E296" s="11" t="s">
        <v>77</v>
      </c>
      <c r="F296" s="11" t="s">
        <v>17</v>
      </c>
      <c r="G296">
        <v>100000</v>
      </c>
      <c r="H296" s="11" t="s">
        <v>24</v>
      </c>
      <c r="I296" s="11" t="s">
        <v>74</v>
      </c>
      <c r="J296" s="10">
        <v>45383</v>
      </c>
    </row>
    <row r="297" spans="1:10" x14ac:dyDescent="0.3">
      <c r="A297" s="10">
        <v>45944</v>
      </c>
      <c r="B297">
        <v>20220013518</v>
      </c>
      <c r="C297" s="11" t="s">
        <v>85</v>
      </c>
      <c r="D297" s="11" t="s">
        <v>81</v>
      </c>
      <c r="E297" s="11" t="s">
        <v>77</v>
      </c>
      <c r="F297" s="11" t="s">
        <v>64</v>
      </c>
      <c r="G297">
        <v>2000000</v>
      </c>
      <c r="H297" s="11" t="s">
        <v>65</v>
      </c>
      <c r="I297" s="11" t="s">
        <v>33</v>
      </c>
      <c r="J297" s="10">
        <v>45748</v>
      </c>
    </row>
    <row r="298" spans="1:10" x14ac:dyDescent="0.3">
      <c r="A298" s="10">
        <v>45945</v>
      </c>
      <c r="B298">
        <v>20220013521</v>
      </c>
      <c r="C298" s="11" t="s">
        <v>85</v>
      </c>
      <c r="D298" s="11" t="s">
        <v>82</v>
      </c>
      <c r="E298" s="11" t="s">
        <v>77</v>
      </c>
      <c r="F298" s="11" t="s">
        <v>4</v>
      </c>
      <c r="G298">
        <v>1000000</v>
      </c>
      <c r="H298" s="11" t="s">
        <v>34</v>
      </c>
      <c r="I298" s="11" t="s">
        <v>74</v>
      </c>
      <c r="J298" s="10">
        <v>45536</v>
      </c>
    </row>
    <row r="299" spans="1:10" x14ac:dyDescent="0.3">
      <c r="A299" s="10">
        <v>45945</v>
      </c>
      <c r="B299">
        <v>20220013524</v>
      </c>
      <c r="C299" s="11" t="s">
        <v>85</v>
      </c>
      <c r="D299" s="11" t="s">
        <v>82</v>
      </c>
      <c r="E299" s="11" t="s">
        <v>77</v>
      </c>
      <c r="F299" s="11" t="s">
        <v>9</v>
      </c>
      <c r="G299">
        <v>100000</v>
      </c>
      <c r="H299" s="11" t="s">
        <v>42</v>
      </c>
      <c r="I299" s="11" t="s">
        <v>33</v>
      </c>
      <c r="J299" s="10">
        <v>44958</v>
      </c>
    </row>
    <row r="300" spans="1:10" x14ac:dyDescent="0.3">
      <c r="A300" s="10">
        <v>45945</v>
      </c>
      <c r="B300">
        <v>20220013527</v>
      </c>
      <c r="C300" s="11" t="s">
        <v>85</v>
      </c>
      <c r="D300" s="11" t="s">
        <v>82</v>
      </c>
      <c r="E300" s="11" t="s">
        <v>77</v>
      </c>
      <c r="F300" s="11" t="s">
        <v>9</v>
      </c>
      <c r="G300">
        <v>750000</v>
      </c>
      <c r="H300" s="11" t="s">
        <v>42</v>
      </c>
      <c r="I300" s="11" t="s">
        <v>33</v>
      </c>
      <c r="J300" s="10">
        <v>44958</v>
      </c>
    </row>
    <row r="301" spans="1:10" x14ac:dyDescent="0.3">
      <c r="A301" s="10">
        <v>45945</v>
      </c>
      <c r="B301">
        <v>20220013530</v>
      </c>
      <c r="C301" s="11" t="s">
        <v>85</v>
      </c>
      <c r="D301" s="11" t="s">
        <v>82</v>
      </c>
      <c r="E301" s="11" t="s">
        <v>77</v>
      </c>
      <c r="F301" s="11" t="s">
        <v>9</v>
      </c>
      <c r="G301">
        <v>1000000</v>
      </c>
      <c r="H301" s="11" t="s">
        <v>42</v>
      </c>
      <c r="I301" s="11" t="s">
        <v>33</v>
      </c>
      <c r="J301" s="10">
        <v>44958</v>
      </c>
    </row>
    <row r="302" spans="1:10" x14ac:dyDescent="0.3">
      <c r="A302" s="10">
        <v>45946</v>
      </c>
      <c r="B302">
        <v>20220013533</v>
      </c>
      <c r="C302" s="11" t="s">
        <v>85</v>
      </c>
      <c r="D302" s="11" t="s">
        <v>80</v>
      </c>
      <c r="E302" s="11" t="s">
        <v>77</v>
      </c>
      <c r="F302" s="11" t="s">
        <v>64</v>
      </c>
      <c r="G302">
        <v>1500000</v>
      </c>
      <c r="H302" s="11" t="s">
        <v>65</v>
      </c>
      <c r="I302" s="11" t="s">
        <v>33</v>
      </c>
      <c r="J302" s="10">
        <v>45748</v>
      </c>
    </row>
    <row r="303" spans="1:10" x14ac:dyDescent="0.3">
      <c r="A303" s="10">
        <v>45946</v>
      </c>
      <c r="B303">
        <v>20220013536</v>
      </c>
      <c r="C303" s="11" t="s">
        <v>85</v>
      </c>
      <c r="D303" s="11" t="s">
        <v>81</v>
      </c>
      <c r="E303" s="11" t="s">
        <v>77</v>
      </c>
      <c r="F303" s="11" t="s">
        <v>12</v>
      </c>
      <c r="G303">
        <v>100000</v>
      </c>
      <c r="H303" s="11" t="s">
        <v>69</v>
      </c>
      <c r="I303" s="11" t="s">
        <v>75</v>
      </c>
      <c r="J303" s="10">
        <v>44986</v>
      </c>
    </row>
    <row r="304" spans="1:10" x14ac:dyDescent="0.3">
      <c r="A304" s="10">
        <v>45946</v>
      </c>
      <c r="B304">
        <v>20220013539</v>
      </c>
      <c r="C304" s="11" t="s">
        <v>85</v>
      </c>
      <c r="D304" s="11" t="s">
        <v>81</v>
      </c>
      <c r="E304" s="11" t="s">
        <v>77</v>
      </c>
      <c r="F304" s="11" t="s">
        <v>12</v>
      </c>
      <c r="G304">
        <v>100000</v>
      </c>
      <c r="H304" s="11" t="s">
        <v>69</v>
      </c>
      <c r="I304" s="11" t="s">
        <v>75</v>
      </c>
      <c r="J304" s="10">
        <v>44986</v>
      </c>
    </row>
    <row r="305" spans="1:10" x14ac:dyDescent="0.3">
      <c r="A305" s="10">
        <v>45946</v>
      </c>
      <c r="B305">
        <v>20220013542</v>
      </c>
      <c r="C305" s="11" t="s">
        <v>85</v>
      </c>
      <c r="D305" s="11" t="s">
        <v>81</v>
      </c>
      <c r="E305" s="11" t="s">
        <v>77</v>
      </c>
      <c r="F305" s="11" t="s">
        <v>3</v>
      </c>
      <c r="G305">
        <v>100000</v>
      </c>
      <c r="H305" s="11" t="s">
        <v>27</v>
      </c>
      <c r="I305" s="11" t="s">
        <v>74</v>
      </c>
      <c r="J305" s="10">
        <v>44958</v>
      </c>
    </row>
    <row r="306" spans="1:10" x14ac:dyDescent="0.3">
      <c r="A306" s="10">
        <v>45946</v>
      </c>
      <c r="B306">
        <v>20220013545</v>
      </c>
      <c r="C306" s="11" t="s">
        <v>85</v>
      </c>
      <c r="D306" s="11" t="s">
        <v>81</v>
      </c>
      <c r="E306" s="11" t="s">
        <v>77</v>
      </c>
      <c r="F306" s="11" t="s">
        <v>3</v>
      </c>
      <c r="G306">
        <v>2000000</v>
      </c>
      <c r="H306" s="11" t="s">
        <v>27</v>
      </c>
      <c r="I306" s="11" t="s">
        <v>74</v>
      </c>
      <c r="J306" s="10">
        <v>44958</v>
      </c>
    </row>
    <row r="307" spans="1:10" x14ac:dyDescent="0.3">
      <c r="A307" s="10">
        <v>45946</v>
      </c>
      <c r="B307">
        <v>20220013548</v>
      </c>
      <c r="C307" s="11" t="s">
        <v>85</v>
      </c>
      <c r="D307" s="11" t="s">
        <v>81</v>
      </c>
      <c r="E307" s="11" t="s">
        <v>77</v>
      </c>
      <c r="F307" s="11" t="s">
        <v>12</v>
      </c>
      <c r="G307">
        <v>1000000</v>
      </c>
      <c r="H307" s="11" t="s">
        <v>69</v>
      </c>
      <c r="I307" s="11" t="s">
        <v>75</v>
      </c>
      <c r="J307" s="10">
        <v>44986</v>
      </c>
    </row>
    <row r="308" spans="1:10" x14ac:dyDescent="0.3">
      <c r="A308" s="10">
        <v>45946</v>
      </c>
      <c r="B308">
        <v>20220013551</v>
      </c>
      <c r="C308" s="11" t="s">
        <v>85</v>
      </c>
      <c r="D308" s="11" t="s">
        <v>81</v>
      </c>
      <c r="E308" s="11" t="s">
        <v>77</v>
      </c>
      <c r="F308" s="11" t="s">
        <v>3</v>
      </c>
      <c r="G308">
        <v>750000</v>
      </c>
      <c r="H308" s="11" t="s">
        <v>27</v>
      </c>
      <c r="I308" s="11" t="s">
        <v>74</v>
      </c>
      <c r="J308" s="10">
        <v>44958</v>
      </c>
    </row>
    <row r="309" spans="1:10" x14ac:dyDescent="0.3">
      <c r="A309" s="10">
        <v>45946</v>
      </c>
      <c r="B309">
        <v>20220013554</v>
      </c>
      <c r="C309" s="11" t="s">
        <v>85</v>
      </c>
      <c r="D309" s="11" t="s">
        <v>81</v>
      </c>
      <c r="E309" s="11" t="s">
        <v>77</v>
      </c>
      <c r="F309" s="11" t="s">
        <v>44</v>
      </c>
      <c r="G309">
        <v>500000</v>
      </c>
      <c r="H309" s="11" t="s">
        <v>43</v>
      </c>
      <c r="I309" s="11" t="s">
        <v>33</v>
      </c>
      <c r="J309" s="10">
        <v>45901</v>
      </c>
    </row>
    <row r="310" spans="1:10" x14ac:dyDescent="0.3">
      <c r="A310" s="10">
        <v>45947</v>
      </c>
      <c r="B310">
        <v>20220013557</v>
      </c>
      <c r="C310" s="11" t="s">
        <v>85</v>
      </c>
      <c r="D310" s="11" t="s">
        <v>81</v>
      </c>
      <c r="E310" s="11" t="s">
        <v>77</v>
      </c>
      <c r="F310" s="11" t="s">
        <v>14</v>
      </c>
      <c r="G310">
        <v>1000000</v>
      </c>
      <c r="H310" s="11" t="s">
        <v>70</v>
      </c>
      <c r="I310" s="11" t="s">
        <v>74</v>
      </c>
      <c r="J310" s="10">
        <v>45809</v>
      </c>
    </row>
    <row r="311" spans="1:10" x14ac:dyDescent="0.3">
      <c r="A311" s="10">
        <v>45947</v>
      </c>
      <c r="B311">
        <v>20220013560</v>
      </c>
      <c r="C311" s="11" t="s">
        <v>85</v>
      </c>
      <c r="D311" s="11" t="s">
        <v>82</v>
      </c>
      <c r="E311" s="11" t="s">
        <v>77</v>
      </c>
      <c r="F311" s="11" t="s">
        <v>14</v>
      </c>
      <c r="G311">
        <v>100000</v>
      </c>
      <c r="H311" s="11" t="s">
        <v>70</v>
      </c>
      <c r="I311" s="11" t="s">
        <v>74</v>
      </c>
      <c r="J311" s="10">
        <v>45809</v>
      </c>
    </row>
    <row r="312" spans="1:10" x14ac:dyDescent="0.3">
      <c r="A312" s="10">
        <v>45947</v>
      </c>
      <c r="B312">
        <v>20220013563</v>
      </c>
      <c r="C312" s="11" t="s">
        <v>85</v>
      </c>
      <c r="D312" s="11" t="s">
        <v>82</v>
      </c>
      <c r="E312" s="11" t="s">
        <v>77</v>
      </c>
      <c r="F312" s="11" t="s">
        <v>14</v>
      </c>
      <c r="G312">
        <v>100000</v>
      </c>
      <c r="H312" s="11" t="s">
        <v>70</v>
      </c>
      <c r="I312" s="11" t="s">
        <v>74</v>
      </c>
      <c r="J312" s="10">
        <v>45809</v>
      </c>
    </row>
    <row r="313" spans="1:10" x14ac:dyDescent="0.3">
      <c r="A313" s="10">
        <v>45948</v>
      </c>
      <c r="B313">
        <v>20220013566</v>
      </c>
      <c r="C313" s="11" t="s">
        <v>85</v>
      </c>
      <c r="D313" s="11" t="s">
        <v>82</v>
      </c>
      <c r="E313" s="11" t="s">
        <v>77</v>
      </c>
      <c r="F313" s="11" t="s">
        <v>13</v>
      </c>
      <c r="G313">
        <v>100000</v>
      </c>
      <c r="H313" s="11" t="s">
        <v>21</v>
      </c>
      <c r="I313" s="11" t="s">
        <v>75</v>
      </c>
      <c r="J313" s="10">
        <v>45383</v>
      </c>
    </row>
    <row r="314" spans="1:10" x14ac:dyDescent="0.3">
      <c r="A314" s="10">
        <v>45948</v>
      </c>
      <c r="B314">
        <v>20220013569</v>
      </c>
      <c r="C314" s="11" t="s">
        <v>85</v>
      </c>
      <c r="D314" s="11" t="s">
        <v>82</v>
      </c>
      <c r="E314" s="11" t="s">
        <v>77</v>
      </c>
      <c r="F314" s="11" t="s">
        <v>13</v>
      </c>
      <c r="G314">
        <v>1500000</v>
      </c>
      <c r="H314" s="11" t="s">
        <v>21</v>
      </c>
      <c r="I314" s="11" t="s">
        <v>75</v>
      </c>
      <c r="J314" s="10">
        <v>45383</v>
      </c>
    </row>
    <row r="315" spans="1:10" x14ac:dyDescent="0.3">
      <c r="A315" s="10">
        <v>45948</v>
      </c>
      <c r="B315">
        <v>20220013572</v>
      </c>
      <c r="C315" s="11" t="s">
        <v>85</v>
      </c>
      <c r="D315" s="11" t="s">
        <v>82</v>
      </c>
      <c r="E315" s="11" t="s">
        <v>77</v>
      </c>
      <c r="F315" s="11" t="s">
        <v>13</v>
      </c>
      <c r="G315">
        <v>100000</v>
      </c>
      <c r="H315" s="11" t="s">
        <v>21</v>
      </c>
      <c r="I315" s="11" t="s">
        <v>75</v>
      </c>
      <c r="J315" s="10">
        <v>45383</v>
      </c>
    </row>
    <row r="316" spans="1:10" x14ac:dyDescent="0.3">
      <c r="A316" s="10">
        <v>45948</v>
      </c>
      <c r="B316">
        <v>20220013575</v>
      </c>
      <c r="C316" s="11" t="s">
        <v>85</v>
      </c>
      <c r="D316" s="11" t="s">
        <v>82</v>
      </c>
      <c r="E316" s="11" t="s">
        <v>77</v>
      </c>
      <c r="F316" s="11" t="s">
        <v>13</v>
      </c>
      <c r="G316">
        <v>1250000</v>
      </c>
      <c r="H316" s="11" t="s">
        <v>21</v>
      </c>
      <c r="I316" s="11" t="s">
        <v>75</v>
      </c>
      <c r="J316" s="10">
        <v>45383</v>
      </c>
    </row>
    <row r="317" spans="1:10" x14ac:dyDescent="0.3">
      <c r="A317" s="10">
        <v>45948</v>
      </c>
      <c r="B317">
        <v>20220013578</v>
      </c>
      <c r="C317" s="11" t="s">
        <v>85</v>
      </c>
      <c r="D317" s="11" t="s">
        <v>82</v>
      </c>
      <c r="E317" s="11" t="s">
        <v>77</v>
      </c>
      <c r="F317" s="11" t="s">
        <v>18</v>
      </c>
      <c r="G317">
        <v>350000</v>
      </c>
      <c r="H317" s="11" t="s">
        <v>35</v>
      </c>
      <c r="I317" s="11" t="s">
        <v>74</v>
      </c>
      <c r="J317" s="10">
        <v>45809</v>
      </c>
    </row>
    <row r="318" spans="1:10" x14ac:dyDescent="0.3">
      <c r="A318" s="10">
        <v>45948</v>
      </c>
      <c r="B318">
        <v>20220013581</v>
      </c>
      <c r="C318" s="11" t="s">
        <v>85</v>
      </c>
      <c r="D318" s="11" t="s">
        <v>81</v>
      </c>
      <c r="E318" s="11" t="s">
        <v>77</v>
      </c>
      <c r="F318" s="11" t="s">
        <v>3</v>
      </c>
      <c r="G318">
        <v>1000000</v>
      </c>
      <c r="H318" s="11" t="s">
        <v>27</v>
      </c>
      <c r="I318" s="11" t="s">
        <v>74</v>
      </c>
      <c r="J318" s="10">
        <v>44958</v>
      </c>
    </row>
    <row r="319" spans="1:10" x14ac:dyDescent="0.3">
      <c r="A319" s="10">
        <v>45948</v>
      </c>
      <c r="B319">
        <v>20220013584</v>
      </c>
      <c r="C319" s="11" t="s">
        <v>85</v>
      </c>
      <c r="D319" s="11" t="s">
        <v>81</v>
      </c>
      <c r="E319" s="11" t="s">
        <v>77</v>
      </c>
      <c r="F319" s="11" t="s">
        <v>13</v>
      </c>
      <c r="G319">
        <v>100000</v>
      </c>
      <c r="H319" s="11" t="s">
        <v>21</v>
      </c>
      <c r="I319" s="11" t="s">
        <v>75</v>
      </c>
      <c r="J319" s="10">
        <v>45383</v>
      </c>
    </row>
    <row r="320" spans="1:10" x14ac:dyDescent="0.3">
      <c r="A320" s="10">
        <v>45948</v>
      </c>
      <c r="B320">
        <v>20220013587</v>
      </c>
      <c r="C320" s="11" t="s">
        <v>85</v>
      </c>
      <c r="D320" s="11" t="s">
        <v>81</v>
      </c>
      <c r="E320" s="11" t="s">
        <v>77</v>
      </c>
      <c r="F320" s="11" t="s">
        <v>13</v>
      </c>
      <c r="G320">
        <v>100000</v>
      </c>
      <c r="H320" s="11" t="s">
        <v>21</v>
      </c>
      <c r="I320" s="11" t="s">
        <v>75</v>
      </c>
      <c r="J320" s="10">
        <v>45383</v>
      </c>
    </row>
    <row r="321" spans="1:10" x14ac:dyDescent="0.3">
      <c r="A321" s="10">
        <v>45948</v>
      </c>
      <c r="B321">
        <v>20220013590</v>
      </c>
      <c r="C321" s="11" t="s">
        <v>85</v>
      </c>
      <c r="D321" s="11" t="s">
        <v>81</v>
      </c>
      <c r="E321" s="11" t="s">
        <v>77</v>
      </c>
      <c r="F321" s="11" t="s">
        <v>13</v>
      </c>
      <c r="G321">
        <v>750000</v>
      </c>
      <c r="H321" s="11" t="s">
        <v>21</v>
      </c>
      <c r="I321" s="11" t="s">
        <v>75</v>
      </c>
      <c r="J321" s="10">
        <v>45383</v>
      </c>
    </row>
    <row r="322" spans="1:10" x14ac:dyDescent="0.3">
      <c r="A322" s="10">
        <v>45948</v>
      </c>
      <c r="B322">
        <v>20220013593</v>
      </c>
      <c r="C322" s="11" t="s">
        <v>85</v>
      </c>
      <c r="D322" s="11" t="s">
        <v>81</v>
      </c>
      <c r="E322" s="11" t="s">
        <v>77</v>
      </c>
      <c r="F322" s="11" t="s">
        <v>13</v>
      </c>
      <c r="G322">
        <v>750000</v>
      </c>
      <c r="H322" s="11" t="s">
        <v>21</v>
      </c>
      <c r="I322" s="11" t="s">
        <v>75</v>
      </c>
      <c r="J322" s="10">
        <v>45383</v>
      </c>
    </row>
    <row r="323" spans="1:10" x14ac:dyDescent="0.3">
      <c r="A323" s="10">
        <v>45948</v>
      </c>
      <c r="B323">
        <v>20220013596</v>
      </c>
      <c r="C323" s="11" t="s">
        <v>85</v>
      </c>
      <c r="D323" s="11" t="s">
        <v>81</v>
      </c>
      <c r="E323" s="11" t="s">
        <v>77</v>
      </c>
      <c r="F323" s="11" t="s">
        <v>18</v>
      </c>
      <c r="G323">
        <v>1000000</v>
      </c>
      <c r="H323" s="11" t="s">
        <v>35</v>
      </c>
      <c r="I323" s="11" t="s">
        <v>74</v>
      </c>
      <c r="J323" s="10">
        <v>45809</v>
      </c>
    </row>
    <row r="324" spans="1:10" x14ac:dyDescent="0.3">
      <c r="A324" s="10">
        <v>45948</v>
      </c>
      <c r="B324">
        <v>20220013599</v>
      </c>
      <c r="C324" s="11" t="s">
        <v>85</v>
      </c>
      <c r="D324" s="11" t="s">
        <v>81</v>
      </c>
      <c r="E324" s="11" t="s">
        <v>77</v>
      </c>
      <c r="F324" s="11" t="s">
        <v>3</v>
      </c>
      <c r="G324">
        <v>100000</v>
      </c>
      <c r="H324" s="11" t="s">
        <v>27</v>
      </c>
      <c r="I324" s="11" t="s">
        <v>74</v>
      </c>
      <c r="J324" s="10">
        <v>44958</v>
      </c>
    </row>
    <row r="325" spans="1:10" x14ac:dyDescent="0.3">
      <c r="A325" s="10">
        <v>45948</v>
      </c>
      <c r="B325">
        <v>20220013602</v>
      </c>
      <c r="C325" s="11" t="s">
        <v>85</v>
      </c>
      <c r="D325" s="11" t="s">
        <v>81</v>
      </c>
      <c r="E325" s="11" t="s">
        <v>77</v>
      </c>
      <c r="F325" s="11" t="s">
        <v>3</v>
      </c>
      <c r="G325">
        <v>100000</v>
      </c>
      <c r="H325" s="11" t="s">
        <v>27</v>
      </c>
      <c r="I325" s="11" t="s">
        <v>74</v>
      </c>
      <c r="J325" s="10">
        <v>44958</v>
      </c>
    </row>
    <row r="326" spans="1:10" x14ac:dyDescent="0.3">
      <c r="A326" s="10">
        <v>45948</v>
      </c>
      <c r="B326">
        <v>20220013605</v>
      </c>
      <c r="C326" s="11" t="s">
        <v>85</v>
      </c>
      <c r="D326" s="11" t="s">
        <v>80</v>
      </c>
      <c r="E326" s="11" t="s">
        <v>77</v>
      </c>
      <c r="F326" s="11" t="s">
        <v>13</v>
      </c>
      <c r="G326">
        <v>1000000</v>
      </c>
      <c r="H326" s="11" t="s">
        <v>21</v>
      </c>
      <c r="I326" s="11" t="s">
        <v>75</v>
      </c>
      <c r="J326" s="10">
        <v>45383</v>
      </c>
    </row>
    <row r="327" spans="1:10" x14ac:dyDescent="0.3">
      <c r="A327" s="10">
        <v>45948</v>
      </c>
      <c r="B327">
        <v>20220013608</v>
      </c>
      <c r="C327" s="11" t="s">
        <v>85</v>
      </c>
      <c r="D327" s="11" t="s">
        <v>80</v>
      </c>
      <c r="E327" s="11" t="s">
        <v>77</v>
      </c>
      <c r="F327" s="11" t="s">
        <v>13</v>
      </c>
      <c r="G327">
        <v>250000</v>
      </c>
      <c r="H327" s="11" t="s">
        <v>21</v>
      </c>
      <c r="I327" s="11" t="s">
        <v>75</v>
      </c>
      <c r="J327" s="10">
        <v>45383</v>
      </c>
    </row>
    <row r="328" spans="1:10" x14ac:dyDescent="0.3">
      <c r="A328" s="10">
        <v>45948</v>
      </c>
      <c r="B328">
        <v>20220013611</v>
      </c>
      <c r="C328" s="11" t="s">
        <v>85</v>
      </c>
      <c r="D328" s="11" t="s">
        <v>80</v>
      </c>
      <c r="E328" s="11" t="s">
        <v>77</v>
      </c>
      <c r="F328" s="11" t="s">
        <v>18</v>
      </c>
      <c r="G328">
        <v>1250000</v>
      </c>
      <c r="H328" s="11" t="s">
        <v>35</v>
      </c>
      <c r="I328" s="11" t="s">
        <v>74</v>
      </c>
      <c r="J328" s="10">
        <v>45809</v>
      </c>
    </row>
    <row r="329" spans="1:10" x14ac:dyDescent="0.3">
      <c r="A329" s="10">
        <v>45948</v>
      </c>
      <c r="B329">
        <v>20220013614</v>
      </c>
      <c r="C329" s="11" t="s">
        <v>85</v>
      </c>
      <c r="D329" s="11" t="s">
        <v>80</v>
      </c>
      <c r="E329" s="11" t="s">
        <v>77</v>
      </c>
      <c r="F329" s="11" t="s">
        <v>18</v>
      </c>
      <c r="G329">
        <v>100000</v>
      </c>
      <c r="H329" s="11" t="s">
        <v>35</v>
      </c>
      <c r="I329" s="11" t="s">
        <v>74</v>
      </c>
      <c r="J329" s="10">
        <v>45809</v>
      </c>
    </row>
    <row r="330" spans="1:10" x14ac:dyDescent="0.3">
      <c r="A330" s="10">
        <v>45948</v>
      </c>
      <c r="B330">
        <v>20220013617</v>
      </c>
      <c r="C330" s="11" t="s">
        <v>85</v>
      </c>
      <c r="D330" s="11" t="s">
        <v>81</v>
      </c>
      <c r="E330" s="11" t="s">
        <v>77</v>
      </c>
      <c r="F330" s="11" t="s">
        <v>3</v>
      </c>
      <c r="G330">
        <v>1000000</v>
      </c>
      <c r="H330" s="11" t="s">
        <v>27</v>
      </c>
      <c r="I330" s="11" t="s">
        <v>74</v>
      </c>
      <c r="J330" s="10">
        <v>44958</v>
      </c>
    </row>
    <row r="331" spans="1:10" x14ac:dyDescent="0.3">
      <c r="A331" s="10">
        <v>45948</v>
      </c>
      <c r="B331">
        <v>20220013620</v>
      </c>
      <c r="C331" s="11" t="s">
        <v>85</v>
      </c>
      <c r="D331" s="11" t="s">
        <v>80</v>
      </c>
      <c r="E331" s="11" t="s">
        <v>77</v>
      </c>
      <c r="F331" s="11" t="s">
        <v>60</v>
      </c>
      <c r="G331">
        <v>100000</v>
      </c>
      <c r="H331" s="11" t="s">
        <v>61</v>
      </c>
      <c r="I331" s="11" t="s">
        <v>75</v>
      </c>
      <c r="J331" s="10">
        <v>45748</v>
      </c>
    </row>
    <row r="332" spans="1:10" x14ac:dyDescent="0.3">
      <c r="A332" s="10">
        <v>45948</v>
      </c>
      <c r="B332">
        <v>20220013623</v>
      </c>
      <c r="C332" s="11" t="s">
        <v>85</v>
      </c>
      <c r="D332" s="11" t="s">
        <v>80</v>
      </c>
      <c r="E332" s="11" t="s">
        <v>77</v>
      </c>
      <c r="F332" s="11" t="s">
        <v>60</v>
      </c>
      <c r="G332">
        <v>800000</v>
      </c>
      <c r="H332" s="11" t="s">
        <v>61</v>
      </c>
      <c r="I332" s="11" t="s">
        <v>75</v>
      </c>
      <c r="J332" s="10">
        <v>45748</v>
      </c>
    </row>
    <row r="333" spans="1:10" x14ac:dyDescent="0.3">
      <c r="A333" s="10">
        <v>45948</v>
      </c>
      <c r="B333">
        <v>20220013626</v>
      </c>
      <c r="C333" s="11" t="s">
        <v>85</v>
      </c>
      <c r="D333" s="11" t="s">
        <v>80</v>
      </c>
      <c r="E333" s="11" t="s">
        <v>77</v>
      </c>
      <c r="F333" s="11" t="s">
        <v>60</v>
      </c>
      <c r="G333">
        <v>600000</v>
      </c>
      <c r="H333" s="11" t="s">
        <v>61</v>
      </c>
      <c r="I333" s="11" t="s">
        <v>75</v>
      </c>
      <c r="J333" s="10">
        <v>45748</v>
      </c>
    </row>
    <row r="334" spans="1:10" x14ac:dyDescent="0.3">
      <c r="A334" s="10">
        <v>45949</v>
      </c>
      <c r="B334">
        <v>20220013629</v>
      </c>
      <c r="C334" s="11" t="s">
        <v>85</v>
      </c>
      <c r="D334" s="11" t="s">
        <v>80</v>
      </c>
      <c r="E334" s="11" t="s">
        <v>77</v>
      </c>
      <c r="F334" s="11" t="s">
        <v>48</v>
      </c>
      <c r="G334">
        <v>100000</v>
      </c>
      <c r="H334" s="11" t="s">
        <v>49</v>
      </c>
      <c r="I334" s="11" t="s">
        <v>33</v>
      </c>
      <c r="J334" s="10">
        <v>45383</v>
      </c>
    </row>
    <row r="335" spans="1:10" x14ac:dyDescent="0.3">
      <c r="A335" s="10">
        <v>45949</v>
      </c>
      <c r="B335">
        <v>20220013632</v>
      </c>
      <c r="C335" s="11" t="s">
        <v>85</v>
      </c>
      <c r="D335" s="11" t="s">
        <v>80</v>
      </c>
      <c r="E335" s="11" t="s">
        <v>77</v>
      </c>
      <c r="F335" s="11" t="s">
        <v>8</v>
      </c>
      <c r="G335">
        <v>100000</v>
      </c>
      <c r="H335" s="11" t="s">
        <v>32</v>
      </c>
      <c r="I335" s="11" t="s">
        <v>33</v>
      </c>
      <c r="J335" s="10">
        <v>45383</v>
      </c>
    </row>
    <row r="336" spans="1:10" x14ac:dyDescent="0.3">
      <c r="A336" s="10">
        <v>45949</v>
      </c>
      <c r="B336">
        <v>20220013635</v>
      </c>
      <c r="C336" s="11" t="s">
        <v>85</v>
      </c>
      <c r="D336" s="11" t="s">
        <v>81</v>
      </c>
      <c r="E336" s="11" t="s">
        <v>77</v>
      </c>
      <c r="F336" s="11" t="s">
        <v>18</v>
      </c>
      <c r="G336">
        <v>1000000</v>
      </c>
      <c r="H336" s="11" t="s">
        <v>35</v>
      </c>
      <c r="I336" s="11" t="s">
        <v>74</v>
      </c>
      <c r="J336" s="10">
        <v>45809</v>
      </c>
    </row>
    <row r="337" spans="1:10" x14ac:dyDescent="0.3">
      <c r="A337" s="10">
        <v>45949</v>
      </c>
      <c r="B337">
        <v>20220013638</v>
      </c>
      <c r="C337" s="11" t="s">
        <v>85</v>
      </c>
      <c r="D337" s="11" t="s">
        <v>80</v>
      </c>
      <c r="E337" s="11" t="s">
        <v>77</v>
      </c>
      <c r="F337" s="11" t="s">
        <v>8</v>
      </c>
      <c r="G337">
        <v>750000</v>
      </c>
      <c r="H337" s="11" t="s">
        <v>32</v>
      </c>
      <c r="I337" s="11" t="s">
        <v>33</v>
      </c>
      <c r="J337" s="10">
        <v>45383</v>
      </c>
    </row>
    <row r="338" spans="1:10" x14ac:dyDescent="0.3">
      <c r="A338" s="10">
        <v>45949</v>
      </c>
      <c r="B338">
        <v>20220013641</v>
      </c>
      <c r="C338" s="11" t="s">
        <v>85</v>
      </c>
      <c r="D338" s="11" t="s">
        <v>80</v>
      </c>
      <c r="E338" s="11" t="s">
        <v>77</v>
      </c>
      <c r="F338" s="11" t="s">
        <v>8</v>
      </c>
      <c r="G338">
        <v>750000</v>
      </c>
      <c r="H338" s="11" t="s">
        <v>32</v>
      </c>
      <c r="I338" s="11" t="s">
        <v>33</v>
      </c>
      <c r="J338" s="10">
        <v>45383</v>
      </c>
    </row>
    <row r="339" spans="1:10" x14ac:dyDescent="0.3">
      <c r="A339" s="10">
        <v>45949</v>
      </c>
      <c r="B339">
        <v>20220013644</v>
      </c>
      <c r="C339" s="11" t="s">
        <v>85</v>
      </c>
      <c r="D339" s="11" t="s">
        <v>80</v>
      </c>
      <c r="E339" s="11" t="s">
        <v>77</v>
      </c>
      <c r="F339" s="11" t="s">
        <v>18</v>
      </c>
      <c r="G339">
        <v>750000</v>
      </c>
      <c r="H339" s="11" t="s">
        <v>35</v>
      </c>
      <c r="I339" s="11" t="s">
        <v>74</v>
      </c>
      <c r="J339" s="10">
        <v>45809</v>
      </c>
    </row>
    <row r="340" spans="1:10" x14ac:dyDescent="0.3">
      <c r="A340" s="10">
        <v>45949</v>
      </c>
      <c r="B340">
        <v>20220013647</v>
      </c>
      <c r="C340" s="11" t="s">
        <v>85</v>
      </c>
      <c r="D340" s="11" t="s">
        <v>81</v>
      </c>
      <c r="E340" s="11" t="s">
        <v>77</v>
      </c>
      <c r="F340" s="11" t="s">
        <v>48</v>
      </c>
      <c r="G340">
        <v>950000</v>
      </c>
      <c r="H340" s="11" t="s">
        <v>49</v>
      </c>
      <c r="I340" s="11" t="s">
        <v>33</v>
      </c>
      <c r="J340" s="10">
        <v>45383</v>
      </c>
    </row>
    <row r="341" spans="1:10" x14ac:dyDescent="0.3">
      <c r="A341" s="10">
        <v>45949</v>
      </c>
      <c r="B341">
        <v>20220013650</v>
      </c>
      <c r="C341" s="11" t="s">
        <v>85</v>
      </c>
      <c r="D341" s="11" t="s">
        <v>81</v>
      </c>
      <c r="E341" s="11" t="s">
        <v>77</v>
      </c>
      <c r="F341" s="11" t="s">
        <v>8</v>
      </c>
      <c r="G341">
        <v>100000</v>
      </c>
      <c r="H341" s="11" t="s">
        <v>32</v>
      </c>
      <c r="I341" s="11" t="s">
        <v>33</v>
      </c>
      <c r="J341" s="10">
        <v>45383</v>
      </c>
    </row>
    <row r="342" spans="1:10" x14ac:dyDescent="0.3">
      <c r="A342" s="10">
        <v>45949</v>
      </c>
      <c r="B342">
        <v>20220013653</v>
      </c>
      <c r="C342" s="11" t="s">
        <v>85</v>
      </c>
      <c r="D342" s="11" t="s">
        <v>80</v>
      </c>
      <c r="E342" s="11" t="s">
        <v>77</v>
      </c>
      <c r="F342" s="11" t="s">
        <v>18</v>
      </c>
      <c r="G342">
        <v>750000</v>
      </c>
      <c r="H342" s="11" t="s">
        <v>35</v>
      </c>
      <c r="I342" s="11" t="s">
        <v>74</v>
      </c>
      <c r="J342" s="10">
        <v>45809</v>
      </c>
    </row>
    <row r="343" spans="1:10" x14ac:dyDescent="0.3">
      <c r="A343" s="10">
        <v>45949</v>
      </c>
      <c r="B343">
        <v>20220013656</v>
      </c>
      <c r="C343" s="11" t="s">
        <v>85</v>
      </c>
      <c r="D343" s="11" t="s">
        <v>80</v>
      </c>
      <c r="E343" s="11" t="s">
        <v>77</v>
      </c>
      <c r="F343" s="11" t="s">
        <v>18</v>
      </c>
      <c r="G343">
        <v>750000</v>
      </c>
      <c r="H343" s="11" t="s">
        <v>35</v>
      </c>
      <c r="I343" s="11" t="s">
        <v>74</v>
      </c>
      <c r="J343" s="10">
        <v>45809</v>
      </c>
    </row>
    <row r="344" spans="1:10" x14ac:dyDescent="0.3">
      <c r="A344" s="10">
        <v>45949</v>
      </c>
      <c r="B344">
        <v>20220013659</v>
      </c>
      <c r="C344" s="11" t="s">
        <v>85</v>
      </c>
      <c r="D344" s="11" t="s">
        <v>80</v>
      </c>
      <c r="E344" s="11" t="s">
        <v>77</v>
      </c>
      <c r="F344" s="11" t="s">
        <v>60</v>
      </c>
      <c r="G344">
        <v>100000</v>
      </c>
      <c r="H344" s="11" t="s">
        <v>61</v>
      </c>
      <c r="I344" s="11" t="s">
        <v>75</v>
      </c>
      <c r="J344" s="10">
        <v>45748</v>
      </c>
    </row>
    <row r="345" spans="1:10" x14ac:dyDescent="0.3">
      <c r="A345" s="10">
        <v>45949</v>
      </c>
      <c r="B345">
        <v>20220013662</v>
      </c>
      <c r="C345" s="11" t="s">
        <v>85</v>
      </c>
      <c r="D345" s="11" t="s">
        <v>80</v>
      </c>
      <c r="E345" s="11" t="s">
        <v>77</v>
      </c>
      <c r="F345" s="11" t="s">
        <v>60</v>
      </c>
      <c r="G345">
        <v>100000</v>
      </c>
      <c r="H345" s="11" t="s">
        <v>61</v>
      </c>
      <c r="I345" s="11" t="s">
        <v>75</v>
      </c>
      <c r="J345" s="10">
        <v>45748</v>
      </c>
    </row>
    <row r="346" spans="1:10" x14ac:dyDescent="0.3">
      <c r="A346" s="10">
        <v>45949</v>
      </c>
      <c r="B346">
        <v>20220013665</v>
      </c>
      <c r="C346" s="11" t="s">
        <v>85</v>
      </c>
      <c r="D346" s="11" t="s">
        <v>80</v>
      </c>
      <c r="E346" s="11" t="s">
        <v>77</v>
      </c>
      <c r="F346" s="11" t="s">
        <v>60</v>
      </c>
      <c r="G346">
        <v>600000</v>
      </c>
      <c r="H346" s="11" t="s">
        <v>61</v>
      </c>
      <c r="I346" s="11" t="s">
        <v>75</v>
      </c>
      <c r="J346" s="10">
        <v>45748</v>
      </c>
    </row>
    <row r="347" spans="1:10" x14ac:dyDescent="0.3">
      <c r="A347" s="10">
        <v>45949</v>
      </c>
      <c r="B347">
        <v>20220013668</v>
      </c>
      <c r="C347" s="11" t="s">
        <v>85</v>
      </c>
      <c r="D347" s="11" t="s">
        <v>80</v>
      </c>
      <c r="E347" s="11" t="s">
        <v>77</v>
      </c>
      <c r="F347" s="11" t="s">
        <v>60</v>
      </c>
      <c r="G347">
        <v>750000</v>
      </c>
      <c r="H347" s="11" t="s">
        <v>61</v>
      </c>
      <c r="I347" s="11" t="s">
        <v>75</v>
      </c>
      <c r="J347" s="10">
        <v>45748</v>
      </c>
    </row>
    <row r="348" spans="1:10" x14ac:dyDescent="0.3">
      <c r="A348" s="10">
        <v>45950</v>
      </c>
      <c r="B348">
        <v>20220013671</v>
      </c>
      <c r="C348" s="11" t="s">
        <v>85</v>
      </c>
      <c r="D348" s="11" t="s">
        <v>81</v>
      </c>
      <c r="E348" s="11" t="s">
        <v>77</v>
      </c>
      <c r="F348" s="11" t="s">
        <v>9</v>
      </c>
      <c r="G348">
        <v>100000</v>
      </c>
      <c r="H348" s="11" t="s">
        <v>42</v>
      </c>
      <c r="I348" s="11" t="s">
        <v>33</v>
      </c>
      <c r="J348" s="10">
        <v>44958</v>
      </c>
    </row>
    <row r="349" spans="1:10" x14ac:dyDescent="0.3">
      <c r="A349" s="10">
        <v>45950</v>
      </c>
      <c r="B349">
        <v>20220013674</v>
      </c>
      <c r="C349" s="11" t="s">
        <v>85</v>
      </c>
      <c r="D349" s="11" t="s">
        <v>81</v>
      </c>
      <c r="E349" s="11" t="s">
        <v>77</v>
      </c>
      <c r="F349" s="11" t="s">
        <v>9</v>
      </c>
      <c r="G349">
        <v>100000</v>
      </c>
      <c r="H349" s="11" t="s">
        <v>42</v>
      </c>
      <c r="I349" s="11" t="s">
        <v>33</v>
      </c>
      <c r="J349" s="10">
        <v>44958</v>
      </c>
    </row>
    <row r="350" spans="1:10" x14ac:dyDescent="0.3">
      <c r="A350" s="10">
        <v>45950</v>
      </c>
      <c r="B350">
        <v>20220013677</v>
      </c>
      <c r="C350" s="11" t="s">
        <v>85</v>
      </c>
      <c r="D350" s="11" t="s">
        <v>80</v>
      </c>
      <c r="E350" s="11" t="s">
        <v>77</v>
      </c>
      <c r="F350" s="11" t="s">
        <v>9</v>
      </c>
      <c r="G350">
        <v>1500000</v>
      </c>
      <c r="H350" s="11" t="s">
        <v>42</v>
      </c>
      <c r="I350" s="11" t="s">
        <v>33</v>
      </c>
      <c r="J350" s="10">
        <v>44958</v>
      </c>
    </row>
    <row r="351" spans="1:10" x14ac:dyDescent="0.3">
      <c r="A351" s="10">
        <v>45950</v>
      </c>
      <c r="B351">
        <v>20220013680</v>
      </c>
      <c r="C351" s="11" t="s">
        <v>85</v>
      </c>
      <c r="D351" s="11" t="s">
        <v>80</v>
      </c>
      <c r="E351" s="11" t="s">
        <v>77</v>
      </c>
      <c r="F351" s="11" t="s">
        <v>9</v>
      </c>
      <c r="G351">
        <v>100000</v>
      </c>
      <c r="H351" s="11" t="s">
        <v>42</v>
      </c>
      <c r="I351" s="11" t="s">
        <v>33</v>
      </c>
      <c r="J351" s="10">
        <v>44958</v>
      </c>
    </row>
    <row r="352" spans="1:10" x14ac:dyDescent="0.3">
      <c r="A352" s="10">
        <v>45950</v>
      </c>
      <c r="B352">
        <v>20220013683</v>
      </c>
      <c r="C352" s="11" t="s">
        <v>85</v>
      </c>
      <c r="D352" s="11" t="s">
        <v>80</v>
      </c>
      <c r="E352" s="11" t="s">
        <v>77</v>
      </c>
      <c r="F352" s="11" t="s">
        <v>9</v>
      </c>
      <c r="G352">
        <v>100000</v>
      </c>
      <c r="H352" s="11" t="s">
        <v>42</v>
      </c>
      <c r="I352" s="11" t="s">
        <v>33</v>
      </c>
      <c r="J352" s="10">
        <v>44958</v>
      </c>
    </row>
    <row r="353" spans="1:10" x14ac:dyDescent="0.3">
      <c r="A353" s="10">
        <v>45950</v>
      </c>
      <c r="B353">
        <v>20220013686</v>
      </c>
      <c r="C353" s="11" t="s">
        <v>85</v>
      </c>
      <c r="D353" s="11" t="s">
        <v>80</v>
      </c>
      <c r="E353" s="11" t="s">
        <v>77</v>
      </c>
      <c r="F353" s="11" t="s">
        <v>60</v>
      </c>
      <c r="G353">
        <v>1250000</v>
      </c>
      <c r="H353" s="11" t="s">
        <v>61</v>
      </c>
      <c r="I353" s="11" t="s">
        <v>75</v>
      </c>
      <c r="J353" s="10">
        <v>45748</v>
      </c>
    </row>
    <row r="354" spans="1:10" x14ac:dyDescent="0.3">
      <c r="A354" s="10">
        <v>45950</v>
      </c>
      <c r="B354">
        <v>20220013689</v>
      </c>
      <c r="C354" s="11" t="s">
        <v>85</v>
      </c>
      <c r="D354" s="11" t="s">
        <v>80</v>
      </c>
      <c r="E354" s="11" t="s">
        <v>77</v>
      </c>
      <c r="F354" s="11" t="s">
        <v>60</v>
      </c>
      <c r="G354">
        <v>800000</v>
      </c>
      <c r="H354" s="11" t="s">
        <v>61</v>
      </c>
      <c r="I354" s="11" t="s">
        <v>75</v>
      </c>
      <c r="J354" s="10">
        <v>45748</v>
      </c>
    </row>
    <row r="355" spans="1:10" x14ac:dyDescent="0.3">
      <c r="A355" s="10">
        <v>45950</v>
      </c>
      <c r="B355">
        <v>20220013692</v>
      </c>
      <c r="C355" s="11" t="s">
        <v>85</v>
      </c>
      <c r="D355" s="11" t="s">
        <v>81</v>
      </c>
      <c r="E355" s="11" t="s">
        <v>77</v>
      </c>
      <c r="F355" s="11" t="s">
        <v>9</v>
      </c>
      <c r="G355">
        <v>100000</v>
      </c>
      <c r="H355" s="11" t="s">
        <v>42</v>
      </c>
      <c r="I355" s="11" t="s">
        <v>33</v>
      </c>
      <c r="J355" s="10">
        <v>44958</v>
      </c>
    </row>
    <row r="356" spans="1:10" x14ac:dyDescent="0.3">
      <c r="A356" s="10">
        <v>45950</v>
      </c>
      <c r="B356">
        <v>20220013695</v>
      </c>
      <c r="C356" s="11" t="s">
        <v>85</v>
      </c>
      <c r="D356" s="11" t="s">
        <v>81</v>
      </c>
      <c r="E356" s="11" t="s">
        <v>77</v>
      </c>
      <c r="F356" s="11" t="s">
        <v>9</v>
      </c>
      <c r="G356">
        <v>100000</v>
      </c>
      <c r="H356" s="11" t="s">
        <v>42</v>
      </c>
      <c r="I356" s="11" t="s">
        <v>33</v>
      </c>
      <c r="J356" s="10">
        <v>44958</v>
      </c>
    </row>
    <row r="357" spans="1:10" x14ac:dyDescent="0.3">
      <c r="A357" s="10">
        <v>45950</v>
      </c>
      <c r="B357">
        <v>20220013698</v>
      </c>
      <c r="C357" s="11" t="s">
        <v>85</v>
      </c>
      <c r="D357" s="11" t="s">
        <v>80</v>
      </c>
      <c r="E357" s="11" t="s">
        <v>77</v>
      </c>
      <c r="F357" s="11" t="s">
        <v>9</v>
      </c>
      <c r="G357">
        <v>350000</v>
      </c>
      <c r="H357" s="11" t="s">
        <v>42</v>
      </c>
      <c r="I357" s="11" t="s">
        <v>33</v>
      </c>
      <c r="J357" s="10">
        <v>44958</v>
      </c>
    </row>
    <row r="358" spans="1:10" x14ac:dyDescent="0.3">
      <c r="A358" s="10">
        <v>45950</v>
      </c>
      <c r="B358">
        <v>20220013701</v>
      </c>
      <c r="C358" s="11" t="s">
        <v>85</v>
      </c>
      <c r="D358" s="11" t="s">
        <v>80</v>
      </c>
      <c r="E358" s="11" t="s">
        <v>77</v>
      </c>
      <c r="F358" s="11" t="s">
        <v>9</v>
      </c>
      <c r="G358">
        <v>750000</v>
      </c>
      <c r="H358" s="11" t="s">
        <v>42</v>
      </c>
      <c r="I358" s="11" t="s">
        <v>33</v>
      </c>
      <c r="J358" s="10">
        <v>44958</v>
      </c>
    </row>
    <row r="359" spans="1:10" x14ac:dyDescent="0.3">
      <c r="A359" s="10">
        <v>45950</v>
      </c>
      <c r="B359">
        <v>20220013704</v>
      </c>
      <c r="C359" s="11" t="s">
        <v>85</v>
      </c>
      <c r="D359" s="11" t="s">
        <v>81</v>
      </c>
      <c r="E359" s="11" t="s">
        <v>77</v>
      </c>
      <c r="F359" s="11" t="s">
        <v>60</v>
      </c>
      <c r="G359">
        <v>100000</v>
      </c>
      <c r="H359" s="11" t="s">
        <v>61</v>
      </c>
      <c r="I359" s="11" t="s">
        <v>75</v>
      </c>
      <c r="J359" s="10">
        <v>45748</v>
      </c>
    </row>
    <row r="360" spans="1:10" x14ac:dyDescent="0.3">
      <c r="A360" s="10">
        <v>45950</v>
      </c>
      <c r="B360">
        <v>20220013707</v>
      </c>
      <c r="C360" s="11" t="s">
        <v>85</v>
      </c>
      <c r="D360" s="11" t="s">
        <v>81</v>
      </c>
      <c r="E360" s="11" t="s">
        <v>77</v>
      </c>
      <c r="F360" s="11" t="s">
        <v>60</v>
      </c>
      <c r="G360">
        <v>100000</v>
      </c>
      <c r="H360" s="11" t="s">
        <v>61</v>
      </c>
      <c r="I360" s="11" t="s">
        <v>75</v>
      </c>
      <c r="J360" s="10">
        <v>45748</v>
      </c>
    </row>
    <row r="361" spans="1:10" x14ac:dyDescent="0.3">
      <c r="A361" s="10">
        <v>45950</v>
      </c>
      <c r="B361">
        <v>20220013710</v>
      </c>
      <c r="C361" s="11" t="s">
        <v>85</v>
      </c>
      <c r="D361" s="11" t="s">
        <v>81</v>
      </c>
      <c r="E361" s="11" t="s">
        <v>77</v>
      </c>
      <c r="F361" s="11" t="s">
        <v>56</v>
      </c>
      <c r="G361">
        <v>300000</v>
      </c>
      <c r="H361" s="11" t="s">
        <v>57</v>
      </c>
      <c r="I361" s="11" t="s">
        <v>74</v>
      </c>
      <c r="J361" s="10">
        <v>45566</v>
      </c>
    </row>
    <row r="362" spans="1:10" x14ac:dyDescent="0.3">
      <c r="A362" s="10">
        <v>45951</v>
      </c>
      <c r="B362">
        <v>20220013713</v>
      </c>
      <c r="C362" s="11" t="s">
        <v>85</v>
      </c>
      <c r="D362" s="11" t="s">
        <v>80</v>
      </c>
      <c r="E362" s="11" t="s">
        <v>77</v>
      </c>
      <c r="F362" s="11" t="s">
        <v>4</v>
      </c>
      <c r="G362">
        <v>600000</v>
      </c>
      <c r="H362" s="11" t="s">
        <v>34</v>
      </c>
      <c r="I362" s="11" t="s">
        <v>74</v>
      </c>
      <c r="J362" s="10">
        <v>45536</v>
      </c>
    </row>
    <row r="363" spans="1:10" x14ac:dyDescent="0.3">
      <c r="A363" s="10">
        <v>45951</v>
      </c>
      <c r="B363">
        <v>20220013716</v>
      </c>
      <c r="C363" s="11" t="s">
        <v>85</v>
      </c>
      <c r="D363" s="11" t="s">
        <v>80</v>
      </c>
      <c r="E363" s="11" t="s">
        <v>77</v>
      </c>
      <c r="F363" s="11" t="s">
        <v>8</v>
      </c>
      <c r="G363">
        <v>1250000</v>
      </c>
      <c r="H363" s="11" t="s">
        <v>32</v>
      </c>
      <c r="I363" s="11" t="s">
        <v>33</v>
      </c>
      <c r="J363" s="10">
        <v>45383</v>
      </c>
    </row>
    <row r="364" spans="1:10" x14ac:dyDescent="0.3">
      <c r="A364" s="10">
        <v>45951</v>
      </c>
      <c r="B364">
        <v>20220013719</v>
      </c>
      <c r="C364" s="11" t="s">
        <v>85</v>
      </c>
      <c r="D364" s="11" t="s">
        <v>80</v>
      </c>
      <c r="E364" s="11" t="s">
        <v>77</v>
      </c>
      <c r="F364" s="11" t="s">
        <v>8</v>
      </c>
      <c r="G364">
        <v>100000</v>
      </c>
      <c r="H364" s="11" t="s">
        <v>32</v>
      </c>
      <c r="I364" s="11" t="s">
        <v>33</v>
      </c>
      <c r="J364" s="10">
        <v>45383</v>
      </c>
    </row>
    <row r="365" spans="1:10" x14ac:dyDescent="0.3">
      <c r="A365" s="10">
        <v>45951</v>
      </c>
      <c r="B365">
        <v>20220013722</v>
      </c>
      <c r="C365" s="11" t="s">
        <v>85</v>
      </c>
      <c r="D365" s="11" t="s">
        <v>80</v>
      </c>
      <c r="E365" s="11" t="s">
        <v>77</v>
      </c>
      <c r="F365" s="11" t="s">
        <v>64</v>
      </c>
      <c r="G365">
        <v>2000000</v>
      </c>
      <c r="H365" s="11" t="s">
        <v>65</v>
      </c>
      <c r="I365" s="11" t="s">
        <v>33</v>
      </c>
      <c r="J365" s="10">
        <v>45748</v>
      </c>
    </row>
    <row r="366" spans="1:10" x14ac:dyDescent="0.3">
      <c r="A366" s="10">
        <v>45951</v>
      </c>
      <c r="B366">
        <v>20220013725</v>
      </c>
      <c r="C366" s="11" t="s">
        <v>85</v>
      </c>
      <c r="D366" s="11" t="s">
        <v>81</v>
      </c>
      <c r="E366" s="11" t="s">
        <v>77</v>
      </c>
      <c r="F366" s="11" t="s">
        <v>8</v>
      </c>
      <c r="G366">
        <v>100000</v>
      </c>
      <c r="H366" s="11" t="s">
        <v>32</v>
      </c>
      <c r="I366" s="11" t="s">
        <v>33</v>
      </c>
      <c r="J366" s="10">
        <v>45383</v>
      </c>
    </row>
    <row r="367" spans="1:10" x14ac:dyDescent="0.3">
      <c r="A367" s="10">
        <v>45951</v>
      </c>
      <c r="B367">
        <v>20220013728</v>
      </c>
      <c r="C367" s="11" t="s">
        <v>85</v>
      </c>
      <c r="D367" s="11" t="s">
        <v>81</v>
      </c>
      <c r="E367" s="11" t="s">
        <v>77</v>
      </c>
      <c r="F367" s="11" t="s">
        <v>44</v>
      </c>
      <c r="G367">
        <v>100000</v>
      </c>
      <c r="H367" s="11" t="s">
        <v>43</v>
      </c>
      <c r="I367" s="11" t="s">
        <v>33</v>
      </c>
      <c r="J367" s="10">
        <v>45901</v>
      </c>
    </row>
    <row r="368" spans="1:10" x14ac:dyDescent="0.3">
      <c r="A368" s="10">
        <v>45951</v>
      </c>
      <c r="B368">
        <v>20220013731</v>
      </c>
      <c r="C368" s="11" t="s">
        <v>85</v>
      </c>
      <c r="D368" s="11" t="s">
        <v>80</v>
      </c>
      <c r="E368" s="11" t="s">
        <v>77</v>
      </c>
      <c r="F368" s="11" t="s">
        <v>60</v>
      </c>
      <c r="G368">
        <v>100000</v>
      </c>
      <c r="H368" s="11" t="s">
        <v>61</v>
      </c>
      <c r="I368" s="11" t="s">
        <v>75</v>
      </c>
      <c r="J368" s="10">
        <v>45748</v>
      </c>
    </row>
    <row r="369" spans="1:10" x14ac:dyDescent="0.3">
      <c r="A369" s="10">
        <v>45951</v>
      </c>
      <c r="B369">
        <v>20220013734</v>
      </c>
      <c r="C369" s="11" t="s">
        <v>85</v>
      </c>
      <c r="D369" s="11" t="s">
        <v>80</v>
      </c>
      <c r="E369" s="11" t="s">
        <v>77</v>
      </c>
      <c r="F369" s="11" t="s">
        <v>60</v>
      </c>
      <c r="G369">
        <v>1250000</v>
      </c>
      <c r="H369" s="11" t="s">
        <v>61</v>
      </c>
      <c r="I369" s="11" t="s">
        <v>75</v>
      </c>
      <c r="J369" s="10">
        <v>45748</v>
      </c>
    </row>
    <row r="370" spans="1:10" x14ac:dyDescent="0.3">
      <c r="A370" s="10">
        <v>45951</v>
      </c>
      <c r="B370">
        <v>20220013737</v>
      </c>
      <c r="C370" s="11" t="s">
        <v>85</v>
      </c>
      <c r="D370" s="11" t="s">
        <v>80</v>
      </c>
      <c r="E370" s="11" t="s">
        <v>77</v>
      </c>
      <c r="F370" s="11" t="s">
        <v>8</v>
      </c>
      <c r="G370">
        <v>750000</v>
      </c>
      <c r="H370" s="11" t="s">
        <v>32</v>
      </c>
      <c r="I370" s="11" t="s">
        <v>33</v>
      </c>
      <c r="J370" s="10">
        <v>45383</v>
      </c>
    </row>
    <row r="371" spans="1:10" x14ac:dyDescent="0.3">
      <c r="A371" s="10">
        <v>45951</v>
      </c>
      <c r="B371">
        <v>20220013740</v>
      </c>
      <c r="C371" s="11" t="s">
        <v>85</v>
      </c>
      <c r="D371" s="11" t="s">
        <v>80</v>
      </c>
      <c r="E371" s="11" t="s">
        <v>77</v>
      </c>
      <c r="F371" s="11" t="s">
        <v>8</v>
      </c>
      <c r="G371">
        <v>750000</v>
      </c>
      <c r="H371" s="11" t="s">
        <v>32</v>
      </c>
      <c r="I371" s="11" t="s">
        <v>33</v>
      </c>
      <c r="J371" s="10">
        <v>45383</v>
      </c>
    </row>
    <row r="372" spans="1:10" x14ac:dyDescent="0.3">
      <c r="A372" s="10">
        <v>45951</v>
      </c>
      <c r="B372">
        <v>20220013743</v>
      </c>
      <c r="C372" s="11" t="s">
        <v>85</v>
      </c>
      <c r="D372" s="11" t="s">
        <v>81</v>
      </c>
      <c r="E372" s="11" t="s">
        <v>77</v>
      </c>
      <c r="F372" s="11" t="s">
        <v>48</v>
      </c>
      <c r="G372">
        <v>250000</v>
      </c>
      <c r="H372" s="11" t="s">
        <v>49</v>
      </c>
      <c r="I372" s="11" t="s">
        <v>33</v>
      </c>
      <c r="J372" s="10">
        <v>45383</v>
      </c>
    </row>
    <row r="373" spans="1:10" x14ac:dyDescent="0.3">
      <c r="A373" s="10">
        <v>45951</v>
      </c>
      <c r="B373">
        <v>20220013746</v>
      </c>
      <c r="C373" s="11" t="s">
        <v>85</v>
      </c>
      <c r="D373" s="11" t="s">
        <v>80</v>
      </c>
      <c r="E373" s="11" t="s">
        <v>77</v>
      </c>
      <c r="F373" s="11" t="s">
        <v>8</v>
      </c>
      <c r="G373">
        <v>1000000</v>
      </c>
      <c r="H373" s="11" t="s">
        <v>32</v>
      </c>
      <c r="I373" s="11" t="s">
        <v>33</v>
      </c>
      <c r="J373" s="10">
        <v>45383</v>
      </c>
    </row>
    <row r="374" spans="1:10" x14ac:dyDescent="0.3">
      <c r="A374" s="10">
        <v>45951</v>
      </c>
      <c r="B374">
        <v>20220013749</v>
      </c>
      <c r="C374" s="11" t="s">
        <v>85</v>
      </c>
      <c r="D374" s="11" t="s">
        <v>80</v>
      </c>
      <c r="E374" s="11" t="s">
        <v>77</v>
      </c>
      <c r="F374" s="11" t="s">
        <v>60</v>
      </c>
      <c r="G374">
        <v>100000</v>
      </c>
      <c r="H374" s="11" t="s">
        <v>61</v>
      </c>
      <c r="I374" s="11" t="s">
        <v>75</v>
      </c>
      <c r="J374" s="10">
        <v>45748</v>
      </c>
    </row>
    <row r="375" spans="1:10" x14ac:dyDescent="0.3">
      <c r="A375" s="10">
        <v>45951</v>
      </c>
      <c r="B375">
        <v>20220013752</v>
      </c>
      <c r="C375" s="11" t="s">
        <v>85</v>
      </c>
      <c r="D375" s="11" t="s">
        <v>80</v>
      </c>
      <c r="E375" s="11" t="s">
        <v>77</v>
      </c>
      <c r="F375" s="11" t="s">
        <v>60</v>
      </c>
      <c r="G375">
        <v>100000</v>
      </c>
      <c r="H375" s="11" t="s">
        <v>61</v>
      </c>
      <c r="I375" s="11" t="s">
        <v>75</v>
      </c>
      <c r="J375" s="10">
        <v>45748</v>
      </c>
    </row>
    <row r="376" spans="1:10" x14ac:dyDescent="0.3">
      <c r="A376" s="10">
        <v>45952</v>
      </c>
      <c r="B376">
        <v>20220013755</v>
      </c>
      <c r="C376" s="11" t="s">
        <v>85</v>
      </c>
      <c r="D376" s="11" t="s">
        <v>80</v>
      </c>
      <c r="E376" s="11" t="s">
        <v>77</v>
      </c>
      <c r="F376" s="11" t="s">
        <v>8</v>
      </c>
      <c r="G376">
        <v>1200000</v>
      </c>
      <c r="H376" s="11" t="s">
        <v>32</v>
      </c>
      <c r="I376" s="11" t="s">
        <v>33</v>
      </c>
      <c r="J376" s="10">
        <v>45383</v>
      </c>
    </row>
    <row r="377" spans="1:10" x14ac:dyDescent="0.3">
      <c r="A377" s="10">
        <v>45952</v>
      </c>
      <c r="B377">
        <v>20220013758</v>
      </c>
      <c r="C377" s="11" t="s">
        <v>85</v>
      </c>
      <c r="D377" s="11" t="s">
        <v>80</v>
      </c>
      <c r="E377" s="11" t="s">
        <v>77</v>
      </c>
      <c r="F377" s="11" t="s">
        <v>8</v>
      </c>
      <c r="G377">
        <v>100000</v>
      </c>
      <c r="H377" s="11" t="s">
        <v>32</v>
      </c>
      <c r="I377" s="11" t="s">
        <v>33</v>
      </c>
      <c r="J377" s="10">
        <v>45383</v>
      </c>
    </row>
    <row r="378" spans="1:10" x14ac:dyDescent="0.3">
      <c r="A378" s="10">
        <v>45952</v>
      </c>
      <c r="B378">
        <v>20220013761</v>
      </c>
      <c r="C378" s="11" t="s">
        <v>85</v>
      </c>
      <c r="D378" s="11" t="s">
        <v>80</v>
      </c>
      <c r="E378" s="11" t="s">
        <v>77</v>
      </c>
      <c r="F378" s="11" t="s">
        <v>12</v>
      </c>
      <c r="G378">
        <v>100000</v>
      </c>
      <c r="H378" s="11" t="s">
        <v>69</v>
      </c>
      <c r="I378" s="11" t="s">
        <v>75</v>
      </c>
      <c r="J378" s="10">
        <v>44986</v>
      </c>
    </row>
    <row r="379" spans="1:10" x14ac:dyDescent="0.3">
      <c r="A379" s="10">
        <v>45952</v>
      </c>
      <c r="B379">
        <v>20220013764</v>
      </c>
      <c r="C379" s="11" t="s">
        <v>85</v>
      </c>
      <c r="D379" s="11" t="s">
        <v>80</v>
      </c>
      <c r="E379" s="11" t="s">
        <v>77</v>
      </c>
      <c r="F379" s="11" t="s">
        <v>12</v>
      </c>
      <c r="G379">
        <v>100000</v>
      </c>
      <c r="H379" s="11" t="s">
        <v>69</v>
      </c>
      <c r="I379" s="11" t="s">
        <v>75</v>
      </c>
      <c r="J379" s="10">
        <v>44986</v>
      </c>
    </row>
    <row r="380" spans="1:10" x14ac:dyDescent="0.3">
      <c r="A380" s="10">
        <v>45952</v>
      </c>
      <c r="B380">
        <v>20220013767</v>
      </c>
      <c r="C380" s="11" t="s">
        <v>85</v>
      </c>
      <c r="D380" s="11" t="s">
        <v>81</v>
      </c>
      <c r="E380" s="11" t="s">
        <v>77</v>
      </c>
      <c r="F380" s="11" t="s">
        <v>14</v>
      </c>
      <c r="G380">
        <v>800000</v>
      </c>
      <c r="H380" s="11" t="s">
        <v>70</v>
      </c>
      <c r="I380" s="11" t="s">
        <v>74</v>
      </c>
      <c r="J380" s="10">
        <v>45809</v>
      </c>
    </row>
    <row r="381" spans="1:10" x14ac:dyDescent="0.3">
      <c r="A381" s="10">
        <v>45952</v>
      </c>
      <c r="B381">
        <v>20220013770</v>
      </c>
      <c r="C381" s="11" t="s">
        <v>85</v>
      </c>
      <c r="D381" s="11" t="s">
        <v>80</v>
      </c>
      <c r="E381" s="11" t="s">
        <v>77</v>
      </c>
      <c r="F381" s="11" t="s">
        <v>44</v>
      </c>
      <c r="G381">
        <v>1250000</v>
      </c>
      <c r="H381" s="11" t="s">
        <v>43</v>
      </c>
      <c r="I381" s="11" t="s">
        <v>33</v>
      </c>
      <c r="J381" s="10">
        <v>45901</v>
      </c>
    </row>
    <row r="382" spans="1:10" x14ac:dyDescent="0.3">
      <c r="A382" s="10">
        <v>45952</v>
      </c>
      <c r="B382">
        <v>20220013773</v>
      </c>
      <c r="C382" s="11" t="s">
        <v>85</v>
      </c>
      <c r="D382" s="11" t="s">
        <v>80</v>
      </c>
      <c r="E382" s="11" t="s">
        <v>77</v>
      </c>
      <c r="F382" s="11" t="s">
        <v>48</v>
      </c>
      <c r="G382">
        <v>750000</v>
      </c>
      <c r="H382" s="11" t="s">
        <v>49</v>
      </c>
      <c r="I382" s="11" t="s">
        <v>33</v>
      </c>
      <c r="J382" s="10">
        <v>45383</v>
      </c>
    </row>
    <row r="383" spans="1:10" x14ac:dyDescent="0.3">
      <c r="A383" s="10">
        <v>45952</v>
      </c>
      <c r="B383">
        <v>20220013776</v>
      </c>
      <c r="C383" s="11" t="s">
        <v>85</v>
      </c>
      <c r="D383" s="11" t="s">
        <v>80</v>
      </c>
      <c r="E383" s="11" t="s">
        <v>77</v>
      </c>
      <c r="F383" s="11" t="s">
        <v>12</v>
      </c>
      <c r="G383">
        <v>100000</v>
      </c>
      <c r="H383" s="11" t="s">
        <v>69</v>
      </c>
      <c r="I383" s="11" t="s">
        <v>75</v>
      </c>
      <c r="J383" s="10">
        <v>44986</v>
      </c>
    </row>
    <row r="384" spans="1:10" x14ac:dyDescent="0.3">
      <c r="A384" s="10">
        <v>45952</v>
      </c>
      <c r="B384">
        <v>20220013779</v>
      </c>
      <c r="C384" s="11" t="s">
        <v>85</v>
      </c>
      <c r="D384" s="11" t="s">
        <v>80</v>
      </c>
      <c r="E384" s="11" t="s">
        <v>77</v>
      </c>
      <c r="F384" s="11" t="s">
        <v>12</v>
      </c>
      <c r="G384">
        <v>100000</v>
      </c>
      <c r="H384" s="11" t="s">
        <v>69</v>
      </c>
      <c r="I384" s="11" t="s">
        <v>75</v>
      </c>
      <c r="J384" s="10">
        <v>44986</v>
      </c>
    </row>
    <row r="385" spans="1:10" x14ac:dyDescent="0.3">
      <c r="A385" s="10">
        <v>45952</v>
      </c>
      <c r="B385">
        <v>20220013782</v>
      </c>
      <c r="C385" s="11" t="s">
        <v>85</v>
      </c>
      <c r="D385" s="11" t="s">
        <v>80</v>
      </c>
      <c r="E385" s="11" t="s">
        <v>77</v>
      </c>
      <c r="F385" s="11" t="s">
        <v>14</v>
      </c>
      <c r="G385">
        <v>750000</v>
      </c>
      <c r="H385" s="11" t="s">
        <v>70</v>
      </c>
      <c r="I385" s="11" t="s">
        <v>74</v>
      </c>
      <c r="J385" s="10">
        <v>45809</v>
      </c>
    </row>
    <row r="386" spans="1:10" x14ac:dyDescent="0.3">
      <c r="A386" s="10">
        <v>45952</v>
      </c>
      <c r="B386">
        <v>20220013785</v>
      </c>
      <c r="C386" s="11" t="s">
        <v>85</v>
      </c>
      <c r="D386" s="11" t="s">
        <v>80</v>
      </c>
      <c r="E386" s="11" t="s">
        <v>77</v>
      </c>
      <c r="F386" s="11" t="s">
        <v>14</v>
      </c>
      <c r="G386">
        <v>750000</v>
      </c>
      <c r="H386" s="11" t="s">
        <v>70</v>
      </c>
      <c r="I386" s="11" t="s">
        <v>74</v>
      </c>
      <c r="J386" s="10">
        <v>45809</v>
      </c>
    </row>
    <row r="387" spans="1:10" x14ac:dyDescent="0.3">
      <c r="A387" s="10">
        <v>45952</v>
      </c>
      <c r="B387">
        <v>20220013788</v>
      </c>
      <c r="C387" s="11" t="s">
        <v>85</v>
      </c>
      <c r="D387" s="11" t="s">
        <v>81</v>
      </c>
      <c r="E387" s="11" t="s">
        <v>77</v>
      </c>
      <c r="F387" s="11" t="s">
        <v>8</v>
      </c>
      <c r="G387">
        <v>750000</v>
      </c>
      <c r="H387" s="11" t="s">
        <v>32</v>
      </c>
      <c r="I387" s="11" t="s">
        <v>33</v>
      </c>
      <c r="J387" s="10">
        <v>45383</v>
      </c>
    </row>
    <row r="388" spans="1:10" x14ac:dyDescent="0.3">
      <c r="A388" s="10">
        <v>45952</v>
      </c>
      <c r="B388">
        <v>20220013791</v>
      </c>
      <c r="C388" s="11" t="s">
        <v>85</v>
      </c>
      <c r="D388" s="11" t="s">
        <v>80</v>
      </c>
      <c r="E388" s="11" t="s">
        <v>77</v>
      </c>
      <c r="F388" s="11" t="s">
        <v>12</v>
      </c>
      <c r="G388">
        <v>100000</v>
      </c>
      <c r="H388" s="11" t="s">
        <v>69</v>
      </c>
      <c r="I388" s="11" t="s">
        <v>75</v>
      </c>
      <c r="J388" s="10">
        <v>44986</v>
      </c>
    </row>
    <row r="389" spans="1:10" x14ac:dyDescent="0.3">
      <c r="A389" s="10">
        <v>45952</v>
      </c>
      <c r="B389">
        <v>20220013794</v>
      </c>
      <c r="C389" s="11" t="s">
        <v>85</v>
      </c>
      <c r="D389" s="11" t="s">
        <v>80</v>
      </c>
      <c r="E389" s="11" t="s">
        <v>77</v>
      </c>
      <c r="F389" s="11" t="s">
        <v>12</v>
      </c>
      <c r="G389">
        <v>1250000</v>
      </c>
      <c r="H389" s="11" t="s">
        <v>69</v>
      </c>
      <c r="I389" s="11" t="s">
        <v>75</v>
      </c>
      <c r="J389" s="10">
        <v>44986</v>
      </c>
    </row>
    <row r="390" spans="1:10" x14ac:dyDescent="0.3">
      <c r="A390" s="10">
        <v>45952</v>
      </c>
      <c r="B390">
        <v>20220013797</v>
      </c>
      <c r="C390" s="11" t="s">
        <v>85</v>
      </c>
      <c r="D390" s="11" t="s">
        <v>80</v>
      </c>
      <c r="E390" s="11" t="s">
        <v>77</v>
      </c>
      <c r="F390" s="11" t="s">
        <v>14</v>
      </c>
      <c r="G390">
        <v>100000</v>
      </c>
      <c r="H390" s="11" t="s">
        <v>70</v>
      </c>
      <c r="I390" s="11" t="s">
        <v>74</v>
      </c>
      <c r="J390" s="10">
        <v>45809</v>
      </c>
    </row>
    <row r="391" spans="1:10" x14ac:dyDescent="0.3">
      <c r="A391" s="10">
        <v>45952</v>
      </c>
      <c r="B391">
        <v>20220013800</v>
      </c>
      <c r="C391" s="11" t="s">
        <v>85</v>
      </c>
      <c r="D391" s="11" t="s">
        <v>81</v>
      </c>
      <c r="E391" s="11" t="s">
        <v>77</v>
      </c>
      <c r="F391" s="11" t="s">
        <v>60</v>
      </c>
      <c r="G391">
        <v>1000000</v>
      </c>
      <c r="H391" s="11" t="s">
        <v>61</v>
      </c>
      <c r="I391" s="11" t="s">
        <v>75</v>
      </c>
      <c r="J391" s="10">
        <v>45748</v>
      </c>
    </row>
    <row r="392" spans="1:10" x14ac:dyDescent="0.3">
      <c r="A392" s="10">
        <v>45952</v>
      </c>
      <c r="B392">
        <v>20220013803</v>
      </c>
      <c r="C392" s="11" t="s">
        <v>85</v>
      </c>
      <c r="D392" s="11" t="s">
        <v>80</v>
      </c>
      <c r="E392" s="11" t="s">
        <v>77</v>
      </c>
      <c r="F392" s="11" t="s">
        <v>60</v>
      </c>
      <c r="G392">
        <v>100000</v>
      </c>
      <c r="H392" s="11" t="s">
        <v>61</v>
      </c>
      <c r="I392" s="11" t="s">
        <v>75</v>
      </c>
      <c r="J392" s="10">
        <v>45748</v>
      </c>
    </row>
    <row r="393" spans="1:10" x14ac:dyDescent="0.3">
      <c r="A393" s="10">
        <v>45952</v>
      </c>
      <c r="B393">
        <v>20220013806</v>
      </c>
      <c r="C393" s="11" t="s">
        <v>85</v>
      </c>
      <c r="D393" s="11" t="s">
        <v>80</v>
      </c>
      <c r="E393" s="11" t="s">
        <v>77</v>
      </c>
      <c r="F393" s="11" t="s">
        <v>60</v>
      </c>
      <c r="G393">
        <v>100000</v>
      </c>
      <c r="H393" s="11" t="s">
        <v>61</v>
      </c>
      <c r="I393" s="11" t="s">
        <v>75</v>
      </c>
      <c r="J393" s="10">
        <v>45748</v>
      </c>
    </row>
    <row r="394" spans="1:10" x14ac:dyDescent="0.3">
      <c r="A394" s="10">
        <v>45952</v>
      </c>
      <c r="B394">
        <v>20220013809</v>
      </c>
      <c r="C394" s="11" t="s">
        <v>85</v>
      </c>
      <c r="D394" s="11" t="s">
        <v>80</v>
      </c>
      <c r="E394" s="11" t="s">
        <v>77</v>
      </c>
      <c r="F394" s="11" t="s">
        <v>44</v>
      </c>
      <c r="G394">
        <v>500000</v>
      </c>
      <c r="H394" s="11" t="s">
        <v>43</v>
      </c>
      <c r="I394" s="11" t="s">
        <v>33</v>
      </c>
      <c r="J394" s="10">
        <v>45901</v>
      </c>
    </row>
    <row r="395" spans="1:10" x14ac:dyDescent="0.3">
      <c r="A395" s="10">
        <v>45952</v>
      </c>
      <c r="B395">
        <v>20220013812</v>
      </c>
      <c r="C395" s="11" t="s">
        <v>85</v>
      </c>
      <c r="D395" s="11" t="s">
        <v>81</v>
      </c>
      <c r="E395" s="11" t="s">
        <v>77</v>
      </c>
      <c r="F395" s="11" t="s">
        <v>12</v>
      </c>
      <c r="G395">
        <v>2000000</v>
      </c>
      <c r="H395" s="11" t="s">
        <v>69</v>
      </c>
      <c r="I395" s="11" t="s">
        <v>75</v>
      </c>
      <c r="J395" s="10">
        <v>44986</v>
      </c>
    </row>
    <row r="396" spans="1:10" x14ac:dyDescent="0.3">
      <c r="A396" s="10">
        <v>45952</v>
      </c>
      <c r="B396">
        <v>20220013815</v>
      </c>
      <c r="C396" s="11" t="s">
        <v>85</v>
      </c>
      <c r="D396" s="11" t="s">
        <v>81</v>
      </c>
      <c r="E396" s="11" t="s">
        <v>77</v>
      </c>
      <c r="F396" s="11" t="s">
        <v>14</v>
      </c>
      <c r="G396">
        <v>150000</v>
      </c>
      <c r="H396" s="11" t="s">
        <v>70</v>
      </c>
      <c r="I396" s="11" t="s">
        <v>74</v>
      </c>
      <c r="J396" s="10">
        <v>45809</v>
      </c>
    </row>
    <row r="397" spans="1:10" x14ac:dyDescent="0.3">
      <c r="A397" s="10">
        <v>45953</v>
      </c>
      <c r="B397">
        <v>20220013818</v>
      </c>
      <c r="C397" s="11" t="s">
        <v>85</v>
      </c>
      <c r="D397" s="11" t="s">
        <v>81</v>
      </c>
      <c r="E397" s="11" t="s">
        <v>77</v>
      </c>
      <c r="F397" s="11" t="s">
        <v>13</v>
      </c>
      <c r="G397">
        <v>1250000</v>
      </c>
      <c r="H397" s="11" t="s">
        <v>21</v>
      </c>
      <c r="I397" s="11" t="s">
        <v>75</v>
      </c>
      <c r="J397" s="10">
        <v>45383</v>
      </c>
    </row>
    <row r="398" spans="1:10" x14ac:dyDescent="0.3">
      <c r="A398" s="10">
        <v>45953</v>
      </c>
      <c r="B398">
        <v>20220013821</v>
      </c>
      <c r="C398" s="11" t="s">
        <v>85</v>
      </c>
      <c r="D398" s="11" t="s">
        <v>81</v>
      </c>
      <c r="E398" s="11" t="s">
        <v>77</v>
      </c>
      <c r="F398" s="11" t="s">
        <v>13</v>
      </c>
      <c r="G398">
        <v>100000</v>
      </c>
      <c r="H398" s="11" t="s">
        <v>21</v>
      </c>
      <c r="I398" s="11" t="s">
        <v>75</v>
      </c>
      <c r="J398" s="10">
        <v>45383</v>
      </c>
    </row>
    <row r="399" spans="1:10" x14ac:dyDescent="0.3">
      <c r="A399" s="10">
        <v>45953</v>
      </c>
      <c r="B399">
        <v>20220013824</v>
      </c>
      <c r="C399" s="11" t="s">
        <v>85</v>
      </c>
      <c r="D399" s="11" t="s">
        <v>81</v>
      </c>
      <c r="E399" s="11" t="s">
        <v>77</v>
      </c>
      <c r="F399" s="11" t="s">
        <v>13</v>
      </c>
      <c r="G399">
        <v>100000</v>
      </c>
      <c r="H399" s="11" t="s">
        <v>21</v>
      </c>
      <c r="I399" s="11" t="s">
        <v>75</v>
      </c>
      <c r="J399" s="10">
        <v>45383</v>
      </c>
    </row>
    <row r="400" spans="1:10" x14ac:dyDescent="0.3">
      <c r="A400" s="10">
        <v>45953</v>
      </c>
      <c r="B400">
        <v>20220013827</v>
      </c>
      <c r="C400" s="11" t="s">
        <v>85</v>
      </c>
      <c r="D400" s="11" t="s">
        <v>81</v>
      </c>
      <c r="E400" s="11" t="s">
        <v>77</v>
      </c>
      <c r="F400" s="11" t="s">
        <v>60</v>
      </c>
      <c r="G400">
        <v>1250000</v>
      </c>
      <c r="H400" s="11" t="s">
        <v>61</v>
      </c>
      <c r="I400" s="11" t="s">
        <v>75</v>
      </c>
      <c r="J400" s="10">
        <v>45748</v>
      </c>
    </row>
    <row r="401" spans="1:10" x14ac:dyDescent="0.3">
      <c r="A401" s="10">
        <v>45954</v>
      </c>
      <c r="B401">
        <v>20220013830</v>
      </c>
      <c r="C401" s="11" t="s">
        <v>85</v>
      </c>
      <c r="D401" s="11" t="s">
        <v>81</v>
      </c>
      <c r="E401" s="11" t="s">
        <v>77</v>
      </c>
      <c r="F401" s="11" t="s">
        <v>4</v>
      </c>
      <c r="G401">
        <v>750000</v>
      </c>
      <c r="H401" s="11" t="s">
        <v>34</v>
      </c>
      <c r="I401" s="11" t="s">
        <v>74</v>
      </c>
      <c r="J401" s="10">
        <v>45536</v>
      </c>
    </row>
    <row r="402" spans="1:10" x14ac:dyDescent="0.3">
      <c r="A402" s="10">
        <v>45954</v>
      </c>
      <c r="B402">
        <v>20220013833</v>
      </c>
      <c r="C402" s="11" t="s">
        <v>85</v>
      </c>
      <c r="D402" s="11" t="s">
        <v>80</v>
      </c>
      <c r="E402" s="11" t="s">
        <v>77</v>
      </c>
      <c r="F402" s="11" t="s">
        <v>4</v>
      </c>
      <c r="G402">
        <v>1100000</v>
      </c>
      <c r="H402" s="11" t="s">
        <v>34</v>
      </c>
      <c r="I402" s="11" t="s">
        <v>74</v>
      </c>
      <c r="J402" s="10">
        <v>45536</v>
      </c>
    </row>
    <row r="403" spans="1:10" x14ac:dyDescent="0.3">
      <c r="A403" s="10">
        <v>45954</v>
      </c>
      <c r="B403">
        <v>20220013836</v>
      </c>
      <c r="C403" s="11" t="s">
        <v>85</v>
      </c>
      <c r="D403" s="11" t="s">
        <v>80</v>
      </c>
      <c r="E403" s="11" t="s">
        <v>77</v>
      </c>
      <c r="F403" s="11" t="s">
        <v>4</v>
      </c>
      <c r="G403">
        <v>100000</v>
      </c>
      <c r="H403" s="11" t="s">
        <v>34</v>
      </c>
      <c r="I403" s="11" t="s">
        <v>74</v>
      </c>
      <c r="J403" s="10">
        <v>45536</v>
      </c>
    </row>
    <row r="404" spans="1:10" x14ac:dyDescent="0.3">
      <c r="A404" s="10">
        <v>45954</v>
      </c>
      <c r="B404">
        <v>20220013839</v>
      </c>
      <c r="C404" s="11" t="s">
        <v>85</v>
      </c>
      <c r="D404" s="11" t="s">
        <v>81</v>
      </c>
      <c r="E404" s="11" t="s">
        <v>77</v>
      </c>
      <c r="F404" s="11" t="s">
        <v>60</v>
      </c>
      <c r="G404">
        <v>100000</v>
      </c>
      <c r="H404" s="11" t="s">
        <v>61</v>
      </c>
      <c r="I404" s="11" t="s">
        <v>75</v>
      </c>
      <c r="J404" s="10">
        <v>45748</v>
      </c>
    </row>
    <row r="405" spans="1:10" x14ac:dyDescent="0.3">
      <c r="A405" s="10">
        <v>45955</v>
      </c>
      <c r="B405">
        <v>20220013842</v>
      </c>
      <c r="C405" s="11" t="s">
        <v>85</v>
      </c>
      <c r="D405" s="11" t="s">
        <v>80</v>
      </c>
      <c r="E405" s="11" t="s">
        <v>77</v>
      </c>
      <c r="F405" s="11" t="s">
        <v>29</v>
      </c>
      <c r="G405">
        <v>500000</v>
      </c>
      <c r="H405" s="11" t="s">
        <v>28</v>
      </c>
      <c r="I405" s="11" t="s">
        <v>75</v>
      </c>
      <c r="J405" s="10">
        <v>45717</v>
      </c>
    </row>
    <row r="406" spans="1:10" x14ac:dyDescent="0.3">
      <c r="A406" s="10">
        <v>45955</v>
      </c>
      <c r="B406">
        <v>20220013845</v>
      </c>
      <c r="C406" s="11" t="s">
        <v>85</v>
      </c>
      <c r="D406" s="11" t="s">
        <v>80</v>
      </c>
      <c r="E406" s="11" t="s">
        <v>77</v>
      </c>
      <c r="F406" s="11" t="s">
        <v>29</v>
      </c>
      <c r="G406">
        <v>750000</v>
      </c>
      <c r="H406" s="11" t="s">
        <v>28</v>
      </c>
      <c r="I406" s="11" t="s">
        <v>75</v>
      </c>
      <c r="J406" s="10">
        <v>45717</v>
      </c>
    </row>
    <row r="407" spans="1:10" x14ac:dyDescent="0.3">
      <c r="A407" s="10">
        <v>45955</v>
      </c>
      <c r="B407">
        <v>20220013848</v>
      </c>
      <c r="C407" s="11" t="s">
        <v>85</v>
      </c>
      <c r="D407" s="11" t="s">
        <v>81</v>
      </c>
      <c r="E407" s="11" t="s">
        <v>77</v>
      </c>
      <c r="F407" s="11" t="s">
        <v>29</v>
      </c>
      <c r="G407">
        <v>100000</v>
      </c>
      <c r="H407" s="11" t="s">
        <v>28</v>
      </c>
      <c r="I407" s="11" t="s">
        <v>75</v>
      </c>
      <c r="J407" s="10">
        <v>45717</v>
      </c>
    </row>
    <row r="408" spans="1:10" x14ac:dyDescent="0.3">
      <c r="A408" s="10">
        <v>45955</v>
      </c>
      <c r="B408">
        <v>20220013851</v>
      </c>
      <c r="C408" s="11" t="s">
        <v>85</v>
      </c>
      <c r="D408" s="11" t="s">
        <v>80</v>
      </c>
      <c r="E408" s="11" t="s">
        <v>77</v>
      </c>
      <c r="F408" s="11" t="s">
        <v>60</v>
      </c>
      <c r="G408">
        <v>400000</v>
      </c>
      <c r="H408" s="11" t="s">
        <v>61</v>
      </c>
      <c r="I408" s="11" t="s">
        <v>75</v>
      </c>
      <c r="J408" s="10">
        <v>45748</v>
      </c>
    </row>
    <row r="409" spans="1:10" x14ac:dyDescent="0.3">
      <c r="A409" s="10">
        <v>45955</v>
      </c>
      <c r="B409">
        <v>20220013854</v>
      </c>
      <c r="C409" s="11" t="s">
        <v>85</v>
      </c>
      <c r="D409" s="11" t="s">
        <v>81</v>
      </c>
      <c r="E409" s="11" t="s">
        <v>77</v>
      </c>
      <c r="F409" s="11" t="s">
        <v>56</v>
      </c>
      <c r="G409">
        <v>100000</v>
      </c>
      <c r="H409" s="11" t="s">
        <v>57</v>
      </c>
      <c r="I409" s="11" t="s">
        <v>74</v>
      </c>
      <c r="J409" s="10">
        <v>45566</v>
      </c>
    </row>
    <row r="410" spans="1:10" x14ac:dyDescent="0.3">
      <c r="A410" s="10">
        <v>45955</v>
      </c>
      <c r="B410">
        <v>20220013857</v>
      </c>
      <c r="C410" s="11" t="s">
        <v>85</v>
      </c>
      <c r="D410" s="11" t="s">
        <v>81</v>
      </c>
      <c r="E410" s="11" t="s">
        <v>77</v>
      </c>
      <c r="F410" s="11" t="s">
        <v>52</v>
      </c>
      <c r="G410">
        <v>100000</v>
      </c>
      <c r="H410" s="11" t="s">
        <v>53</v>
      </c>
      <c r="I410" s="11" t="s">
        <v>75</v>
      </c>
      <c r="J410" s="10">
        <v>44958</v>
      </c>
    </row>
    <row r="411" spans="1:10" x14ac:dyDescent="0.3">
      <c r="A411" s="10">
        <v>45955</v>
      </c>
      <c r="B411">
        <v>20220013860</v>
      </c>
      <c r="C411" s="11" t="s">
        <v>85</v>
      </c>
      <c r="D411" s="11" t="s">
        <v>81</v>
      </c>
      <c r="E411" s="11" t="s">
        <v>77</v>
      </c>
      <c r="F411" s="11" t="s">
        <v>52</v>
      </c>
      <c r="G411">
        <v>1500000</v>
      </c>
      <c r="H411" s="11" t="s">
        <v>53</v>
      </c>
      <c r="I411" s="11" t="s">
        <v>75</v>
      </c>
      <c r="J411" s="10">
        <v>44958</v>
      </c>
    </row>
    <row r="412" spans="1:10" x14ac:dyDescent="0.3">
      <c r="A412" s="10">
        <v>45955</v>
      </c>
      <c r="B412">
        <v>20220013863</v>
      </c>
      <c r="C412" s="11" t="s">
        <v>85</v>
      </c>
      <c r="D412" s="11" t="s">
        <v>81</v>
      </c>
      <c r="E412" s="11" t="s">
        <v>77</v>
      </c>
      <c r="F412" s="11" t="s">
        <v>56</v>
      </c>
      <c r="G412">
        <v>100000</v>
      </c>
      <c r="H412" s="11" t="s">
        <v>57</v>
      </c>
      <c r="I412" s="11" t="s">
        <v>74</v>
      </c>
      <c r="J412" s="10">
        <v>45566</v>
      </c>
    </row>
    <row r="413" spans="1:10" x14ac:dyDescent="0.3">
      <c r="A413" s="10">
        <v>45955</v>
      </c>
      <c r="B413">
        <v>20220013866</v>
      </c>
      <c r="C413" s="11" t="s">
        <v>85</v>
      </c>
      <c r="D413" s="11" t="s">
        <v>81</v>
      </c>
      <c r="E413" s="11" t="s">
        <v>77</v>
      </c>
      <c r="F413" s="11" t="s">
        <v>56</v>
      </c>
      <c r="G413">
        <v>100000</v>
      </c>
      <c r="H413" s="11" t="s">
        <v>57</v>
      </c>
      <c r="I413" s="11" t="s">
        <v>74</v>
      </c>
      <c r="J413" s="10">
        <v>45566</v>
      </c>
    </row>
    <row r="414" spans="1:10" x14ac:dyDescent="0.3">
      <c r="A414" s="10">
        <v>45956</v>
      </c>
      <c r="B414">
        <v>20220013869</v>
      </c>
      <c r="C414" s="11" t="s">
        <v>85</v>
      </c>
      <c r="D414" s="11" t="s">
        <v>80</v>
      </c>
      <c r="E414" s="11" t="s">
        <v>77</v>
      </c>
      <c r="F414" s="11" t="s">
        <v>14</v>
      </c>
      <c r="G414">
        <v>350000</v>
      </c>
      <c r="H414" s="11" t="s">
        <v>70</v>
      </c>
      <c r="I414" s="11" t="s">
        <v>74</v>
      </c>
      <c r="J414" s="10">
        <v>45809</v>
      </c>
    </row>
    <row r="415" spans="1:10" x14ac:dyDescent="0.3">
      <c r="A415" s="10">
        <v>45956</v>
      </c>
      <c r="B415">
        <v>20220013872</v>
      </c>
      <c r="C415" s="11" t="s">
        <v>85</v>
      </c>
      <c r="D415" s="11" t="s">
        <v>80</v>
      </c>
      <c r="E415" s="11" t="s">
        <v>77</v>
      </c>
      <c r="F415" s="11" t="s">
        <v>14</v>
      </c>
      <c r="G415">
        <v>1250000</v>
      </c>
      <c r="H415" s="11" t="s">
        <v>70</v>
      </c>
      <c r="I415" s="11" t="s">
        <v>74</v>
      </c>
      <c r="J415" s="10">
        <v>45809</v>
      </c>
    </row>
    <row r="416" spans="1:10" x14ac:dyDescent="0.3">
      <c r="A416" s="10">
        <v>45956</v>
      </c>
      <c r="B416">
        <v>20220013875</v>
      </c>
      <c r="C416" s="11" t="s">
        <v>85</v>
      </c>
      <c r="D416" s="11" t="s">
        <v>80</v>
      </c>
      <c r="E416" s="11" t="s">
        <v>77</v>
      </c>
      <c r="F416" s="11" t="s">
        <v>14</v>
      </c>
      <c r="G416">
        <v>100000</v>
      </c>
      <c r="H416" s="11" t="s">
        <v>70</v>
      </c>
      <c r="I416" s="11" t="s">
        <v>74</v>
      </c>
      <c r="J416" s="10">
        <v>45809</v>
      </c>
    </row>
    <row r="417" spans="1:10" x14ac:dyDescent="0.3">
      <c r="A417" s="10">
        <v>45956</v>
      </c>
      <c r="B417">
        <v>20220013878</v>
      </c>
      <c r="C417" s="11" t="s">
        <v>85</v>
      </c>
      <c r="D417" s="11" t="s">
        <v>80</v>
      </c>
      <c r="E417" s="11" t="s">
        <v>77</v>
      </c>
      <c r="F417" s="11" t="s">
        <v>64</v>
      </c>
      <c r="G417">
        <v>2000000</v>
      </c>
      <c r="H417" s="11" t="s">
        <v>65</v>
      </c>
      <c r="I417" s="11" t="s">
        <v>33</v>
      </c>
      <c r="J417" s="10">
        <v>45748</v>
      </c>
    </row>
    <row r="418" spans="1:10" x14ac:dyDescent="0.3">
      <c r="A418" s="10">
        <v>45956</v>
      </c>
      <c r="B418">
        <v>20220013881</v>
      </c>
      <c r="C418" s="11" t="s">
        <v>85</v>
      </c>
      <c r="D418" s="11" t="s">
        <v>80</v>
      </c>
      <c r="E418" s="11" t="s">
        <v>77</v>
      </c>
      <c r="F418" s="11" t="s">
        <v>8</v>
      </c>
      <c r="G418">
        <v>1100000</v>
      </c>
      <c r="H418" s="11" t="s">
        <v>32</v>
      </c>
      <c r="I418" s="11" t="s">
        <v>33</v>
      </c>
      <c r="J418" s="10">
        <v>45383</v>
      </c>
    </row>
    <row r="419" spans="1:10" x14ac:dyDescent="0.3">
      <c r="A419" s="10">
        <v>45956</v>
      </c>
      <c r="B419">
        <v>20220013884</v>
      </c>
      <c r="C419" s="11" t="s">
        <v>85</v>
      </c>
      <c r="D419" s="11" t="s">
        <v>81</v>
      </c>
      <c r="E419" s="11" t="s">
        <v>77</v>
      </c>
      <c r="F419" s="11" t="s">
        <v>9</v>
      </c>
      <c r="G419">
        <v>300000</v>
      </c>
      <c r="H419" s="11" t="s">
        <v>42</v>
      </c>
      <c r="I419" s="11" t="s">
        <v>33</v>
      </c>
      <c r="J419" s="10">
        <v>44958</v>
      </c>
    </row>
    <row r="420" spans="1:10" x14ac:dyDescent="0.3">
      <c r="A420" s="10">
        <v>45956</v>
      </c>
      <c r="B420">
        <v>20220013887</v>
      </c>
      <c r="C420" s="11" t="s">
        <v>85</v>
      </c>
      <c r="D420" s="11" t="s">
        <v>80</v>
      </c>
      <c r="E420" s="11" t="s">
        <v>77</v>
      </c>
      <c r="F420" s="11" t="s">
        <v>8</v>
      </c>
      <c r="G420">
        <v>1000000</v>
      </c>
      <c r="H420" s="11" t="s">
        <v>32</v>
      </c>
      <c r="I420" s="11" t="s">
        <v>33</v>
      </c>
      <c r="J420" s="10">
        <v>45383</v>
      </c>
    </row>
    <row r="421" spans="1:10" x14ac:dyDescent="0.3">
      <c r="A421" s="10">
        <v>45956</v>
      </c>
      <c r="B421">
        <v>20220013890</v>
      </c>
      <c r="C421" s="11" t="s">
        <v>85</v>
      </c>
      <c r="D421" s="11" t="s">
        <v>80</v>
      </c>
      <c r="E421" s="11" t="s">
        <v>77</v>
      </c>
      <c r="F421" s="11" t="s">
        <v>60</v>
      </c>
      <c r="G421">
        <v>750000</v>
      </c>
      <c r="H421" s="11" t="s">
        <v>61</v>
      </c>
      <c r="I421" s="11" t="s">
        <v>75</v>
      </c>
      <c r="J421" s="10">
        <v>45748</v>
      </c>
    </row>
    <row r="422" spans="1:10" x14ac:dyDescent="0.3">
      <c r="A422" s="10">
        <v>45957</v>
      </c>
      <c r="B422">
        <v>20220013893</v>
      </c>
      <c r="C422" s="11" t="s">
        <v>85</v>
      </c>
      <c r="D422" s="11" t="s">
        <v>81</v>
      </c>
      <c r="E422" s="11" t="s">
        <v>77</v>
      </c>
      <c r="F422" s="11" t="s">
        <v>18</v>
      </c>
      <c r="G422">
        <v>350000</v>
      </c>
      <c r="H422" s="11" t="s">
        <v>35</v>
      </c>
      <c r="I422" s="11" t="s">
        <v>74</v>
      </c>
      <c r="J422" s="10">
        <v>45809</v>
      </c>
    </row>
    <row r="423" spans="1:10" x14ac:dyDescent="0.3">
      <c r="A423" s="10">
        <v>45957</v>
      </c>
      <c r="B423">
        <v>20220013896</v>
      </c>
      <c r="C423" s="11" t="s">
        <v>85</v>
      </c>
      <c r="D423" s="11" t="s">
        <v>80</v>
      </c>
      <c r="E423" s="11" t="s">
        <v>77</v>
      </c>
      <c r="F423" s="11" t="s">
        <v>18</v>
      </c>
      <c r="G423">
        <v>100000</v>
      </c>
      <c r="H423" s="11" t="s">
        <v>35</v>
      </c>
      <c r="I423" s="11" t="s">
        <v>74</v>
      </c>
      <c r="J423" s="10">
        <v>45809</v>
      </c>
    </row>
    <row r="424" spans="1:10" x14ac:dyDescent="0.3">
      <c r="A424" s="10">
        <v>45957</v>
      </c>
      <c r="B424">
        <v>20220013899</v>
      </c>
      <c r="C424" s="11" t="s">
        <v>85</v>
      </c>
      <c r="D424" s="11" t="s">
        <v>80</v>
      </c>
      <c r="E424" s="11" t="s">
        <v>77</v>
      </c>
      <c r="F424" s="11" t="s">
        <v>18</v>
      </c>
      <c r="G424">
        <v>100000</v>
      </c>
      <c r="H424" s="11" t="s">
        <v>35</v>
      </c>
      <c r="I424" s="11" t="s">
        <v>74</v>
      </c>
      <c r="J424" s="10">
        <v>45809</v>
      </c>
    </row>
    <row r="425" spans="1:10" x14ac:dyDescent="0.3">
      <c r="A425" s="10">
        <v>45957</v>
      </c>
      <c r="B425">
        <v>20220013902</v>
      </c>
      <c r="C425" s="11" t="s">
        <v>85</v>
      </c>
      <c r="D425" s="11" t="s">
        <v>80</v>
      </c>
      <c r="E425" s="11" t="s">
        <v>77</v>
      </c>
      <c r="F425" s="11" t="s">
        <v>18</v>
      </c>
      <c r="G425">
        <v>100000</v>
      </c>
      <c r="H425" s="11" t="s">
        <v>35</v>
      </c>
      <c r="I425" s="11" t="s">
        <v>74</v>
      </c>
      <c r="J425" s="10">
        <v>45809</v>
      </c>
    </row>
    <row r="426" spans="1:10" x14ac:dyDescent="0.3">
      <c r="A426" s="10">
        <v>45957</v>
      </c>
      <c r="B426">
        <v>20220013905</v>
      </c>
      <c r="C426" s="11" t="s">
        <v>85</v>
      </c>
      <c r="D426" s="11" t="s">
        <v>81</v>
      </c>
      <c r="E426" s="11" t="s">
        <v>77</v>
      </c>
      <c r="F426" s="11" t="s">
        <v>17</v>
      </c>
      <c r="G426">
        <v>1000000</v>
      </c>
      <c r="H426" s="11" t="s">
        <v>24</v>
      </c>
      <c r="I426" s="11" t="s">
        <v>74</v>
      </c>
      <c r="J426" s="10">
        <v>45383</v>
      </c>
    </row>
    <row r="427" spans="1:10" x14ac:dyDescent="0.3">
      <c r="A427" s="10">
        <v>45957</v>
      </c>
      <c r="B427">
        <v>20220013908</v>
      </c>
      <c r="C427" s="11" t="s">
        <v>85</v>
      </c>
      <c r="D427" s="11" t="s">
        <v>80</v>
      </c>
      <c r="E427" s="11" t="s">
        <v>77</v>
      </c>
      <c r="F427" s="11" t="s">
        <v>18</v>
      </c>
      <c r="G427">
        <v>100000</v>
      </c>
      <c r="H427" s="11" t="s">
        <v>35</v>
      </c>
      <c r="I427" s="11" t="s">
        <v>74</v>
      </c>
      <c r="J427" s="10">
        <v>45809</v>
      </c>
    </row>
    <row r="428" spans="1:10" x14ac:dyDescent="0.3">
      <c r="A428" s="10">
        <v>45957</v>
      </c>
      <c r="B428">
        <v>20220013911</v>
      </c>
      <c r="C428" s="11" t="s">
        <v>85</v>
      </c>
      <c r="D428" s="11" t="s">
        <v>80</v>
      </c>
      <c r="E428" s="11" t="s">
        <v>77</v>
      </c>
      <c r="F428" s="11" t="s">
        <v>17</v>
      </c>
      <c r="G428">
        <v>750000</v>
      </c>
      <c r="H428" s="11" t="s">
        <v>24</v>
      </c>
      <c r="I428" s="11" t="s">
        <v>74</v>
      </c>
      <c r="J428" s="10">
        <v>45383</v>
      </c>
    </row>
    <row r="429" spans="1:10" x14ac:dyDescent="0.3">
      <c r="A429" s="10">
        <v>45957</v>
      </c>
      <c r="B429">
        <v>20220013914</v>
      </c>
      <c r="C429" s="11" t="s">
        <v>85</v>
      </c>
      <c r="D429" s="11" t="s">
        <v>80</v>
      </c>
      <c r="E429" s="11" t="s">
        <v>77</v>
      </c>
      <c r="F429" s="11" t="s">
        <v>9</v>
      </c>
      <c r="G429">
        <v>100000</v>
      </c>
      <c r="H429" s="11" t="s">
        <v>42</v>
      </c>
      <c r="I429" s="11" t="s">
        <v>33</v>
      </c>
      <c r="J429" s="10">
        <v>44958</v>
      </c>
    </row>
    <row r="430" spans="1:10" x14ac:dyDescent="0.3">
      <c r="A430" s="10">
        <v>45957</v>
      </c>
      <c r="B430">
        <v>20220013917</v>
      </c>
      <c r="C430" s="11" t="s">
        <v>85</v>
      </c>
      <c r="D430" s="11" t="s">
        <v>80</v>
      </c>
      <c r="E430" s="11" t="s">
        <v>77</v>
      </c>
      <c r="F430" s="11" t="s">
        <v>17</v>
      </c>
      <c r="G430">
        <v>500000</v>
      </c>
      <c r="H430" s="11" t="s">
        <v>24</v>
      </c>
      <c r="I430" s="11" t="s">
        <v>74</v>
      </c>
      <c r="J430" s="10">
        <v>45383</v>
      </c>
    </row>
    <row r="431" spans="1:10" x14ac:dyDescent="0.3">
      <c r="A431" s="10">
        <v>45957</v>
      </c>
      <c r="B431">
        <v>20220013920</v>
      </c>
      <c r="C431" s="11" t="s">
        <v>85</v>
      </c>
      <c r="D431" s="11" t="s">
        <v>81</v>
      </c>
      <c r="E431" s="11" t="s">
        <v>77</v>
      </c>
      <c r="F431" s="11" t="s">
        <v>60</v>
      </c>
      <c r="G431">
        <v>100000</v>
      </c>
      <c r="H431" s="11" t="s">
        <v>61</v>
      </c>
      <c r="I431" s="11" t="s">
        <v>75</v>
      </c>
      <c r="J431" s="10">
        <v>45748</v>
      </c>
    </row>
    <row r="432" spans="1:10" x14ac:dyDescent="0.3">
      <c r="A432" s="10">
        <v>45958</v>
      </c>
      <c r="B432">
        <v>20220013923</v>
      </c>
      <c r="C432" s="11" t="s">
        <v>85</v>
      </c>
      <c r="D432" s="11" t="s">
        <v>80</v>
      </c>
      <c r="E432" s="11" t="s">
        <v>77</v>
      </c>
      <c r="F432" s="11" t="s">
        <v>2</v>
      </c>
      <c r="G432">
        <v>300000</v>
      </c>
      <c r="H432" s="11" t="s">
        <v>25</v>
      </c>
      <c r="I432" s="11" t="s">
        <v>75</v>
      </c>
      <c r="J432" s="10">
        <v>45809</v>
      </c>
    </row>
    <row r="433" spans="1:10" x14ac:dyDescent="0.3">
      <c r="A433" s="10">
        <v>45958</v>
      </c>
      <c r="B433">
        <v>20220013926</v>
      </c>
      <c r="C433" s="11" t="s">
        <v>85</v>
      </c>
      <c r="D433" s="11" t="s">
        <v>80</v>
      </c>
      <c r="E433" s="11" t="s">
        <v>77</v>
      </c>
      <c r="F433" s="11" t="s">
        <v>4</v>
      </c>
      <c r="G433">
        <v>1200000</v>
      </c>
      <c r="H433" s="11" t="s">
        <v>34</v>
      </c>
      <c r="I433" s="11" t="s">
        <v>74</v>
      </c>
      <c r="J433" s="10">
        <v>45536</v>
      </c>
    </row>
    <row r="434" spans="1:10" x14ac:dyDescent="0.3">
      <c r="A434" s="10">
        <v>45958</v>
      </c>
      <c r="B434">
        <v>20220013929</v>
      </c>
      <c r="C434" s="11" t="s">
        <v>85</v>
      </c>
      <c r="D434" s="11" t="s">
        <v>81</v>
      </c>
      <c r="E434" s="11" t="s">
        <v>77</v>
      </c>
      <c r="F434" s="11" t="s">
        <v>2</v>
      </c>
      <c r="G434">
        <v>300000</v>
      </c>
      <c r="H434" s="11" t="s">
        <v>25</v>
      </c>
      <c r="I434" s="11" t="s">
        <v>75</v>
      </c>
      <c r="J434" s="10">
        <v>45809</v>
      </c>
    </row>
    <row r="435" spans="1:10" x14ac:dyDescent="0.3">
      <c r="A435" s="10">
        <v>45958</v>
      </c>
      <c r="B435">
        <v>20220013932</v>
      </c>
      <c r="C435" s="11" t="s">
        <v>85</v>
      </c>
      <c r="D435" s="11" t="s">
        <v>80</v>
      </c>
      <c r="E435" s="11" t="s">
        <v>77</v>
      </c>
      <c r="F435" s="11" t="s">
        <v>4</v>
      </c>
      <c r="G435">
        <v>750000</v>
      </c>
      <c r="H435" s="11" t="s">
        <v>34</v>
      </c>
      <c r="I435" s="11" t="s">
        <v>74</v>
      </c>
      <c r="J435" s="10">
        <v>45536</v>
      </c>
    </row>
    <row r="436" spans="1:10" x14ac:dyDescent="0.3">
      <c r="A436" s="10">
        <v>45958</v>
      </c>
      <c r="B436">
        <v>20220013935</v>
      </c>
      <c r="C436" s="11" t="s">
        <v>85</v>
      </c>
      <c r="D436" s="11" t="s">
        <v>80</v>
      </c>
      <c r="E436" s="11" t="s">
        <v>77</v>
      </c>
      <c r="F436" s="11" t="s">
        <v>2</v>
      </c>
      <c r="G436">
        <v>500000</v>
      </c>
      <c r="H436" s="11" t="s">
        <v>25</v>
      </c>
      <c r="I436" s="11" t="s">
        <v>75</v>
      </c>
      <c r="J436" s="10">
        <v>45809</v>
      </c>
    </row>
    <row r="437" spans="1:10" x14ac:dyDescent="0.3">
      <c r="A437" s="10">
        <v>45958</v>
      </c>
      <c r="B437">
        <v>20220013938</v>
      </c>
      <c r="C437" s="11" t="s">
        <v>85</v>
      </c>
      <c r="D437" s="11" t="s">
        <v>80</v>
      </c>
      <c r="E437" s="11" t="s">
        <v>77</v>
      </c>
      <c r="F437" s="11" t="s">
        <v>4</v>
      </c>
      <c r="G437">
        <v>1000000</v>
      </c>
      <c r="H437" s="11" t="s">
        <v>34</v>
      </c>
      <c r="I437" s="11" t="s">
        <v>74</v>
      </c>
      <c r="J437" s="10">
        <v>45536</v>
      </c>
    </row>
    <row r="438" spans="1:10" x14ac:dyDescent="0.3">
      <c r="A438" s="10">
        <v>45958</v>
      </c>
      <c r="B438">
        <v>20220013941</v>
      </c>
      <c r="C438" s="11" t="s">
        <v>85</v>
      </c>
      <c r="D438" s="11" t="s">
        <v>81</v>
      </c>
      <c r="E438" s="11" t="s">
        <v>77</v>
      </c>
      <c r="F438" s="11" t="s">
        <v>2</v>
      </c>
      <c r="G438">
        <v>200000</v>
      </c>
      <c r="H438" s="11" t="s">
        <v>25</v>
      </c>
      <c r="I438" s="11" t="s">
        <v>75</v>
      </c>
      <c r="J438" s="10">
        <v>45809</v>
      </c>
    </row>
    <row r="439" spans="1:10" x14ac:dyDescent="0.3">
      <c r="A439" s="10">
        <v>45958</v>
      </c>
      <c r="B439">
        <v>20220013944</v>
      </c>
      <c r="C439" s="11" t="s">
        <v>85</v>
      </c>
      <c r="D439" s="11" t="s">
        <v>80</v>
      </c>
      <c r="E439" s="11" t="s">
        <v>77</v>
      </c>
      <c r="F439" s="11" t="s">
        <v>4</v>
      </c>
      <c r="G439">
        <v>750000</v>
      </c>
      <c r="H439" s="11" t="s">
        <v>34</v>
      </c>
      <c r="I439" s="11" t="s">
        <v>74</v>
      </c>
      <c r="J439" s="10">
        <v>45536</v>
      </c>
    </row>
    <row r="440" spans="1:10" x14ac:dyDescent="0.3">
      <c r="A440" s="10">
        <v>45958</v>
      </c>
      <c r="B440">
        <v>20220013947</v>
      </c>
      <c r="C440" s="11" t="s">
        <v>85</v>
      </c>
      <c r="D440" s="11" t="s">
        <v>80</v>
      </c>
      <c r="E440" s="11" t="s">
        <v>77</v>
      </c>
      <c r="F440" s="11" t="s">
        <v>17</v>
      </c>
      <c r="G440">
        <v>300000</v>
      </c>
      <c r="H440" s="11" t="s">
        <v>24</v>
      </c>
      <c r="I440" s="11" t="s">
        <v>74</v>
      </c>
      <c r="J440" s="10">
        <v>45383</v>
      </c>
    </row>
    <row r="441" spans="1:10" x14ac:dyDescent="0.3">
      <c r="A441" s="10">
        <v>45958</v>
      </c>
      <c r="B441">
        <v>20220013950</v>
      </c>
      <c r="C441" s="11" t="s">
        <v>85</v>
      </c>
      <c r="D441" s="11" t="s">
        <v>80</v>
      </c>
      <c r="E441" s="11" t="s">
        <v>77</v>
      </c>
      <c r="F441" s="11" t="s">
        <v>4</v>
      </c>
      <c r="G441">
        <v>100000</v>
      </c>
      <c r="H441" s="11" t="s">
        <v>34</v>
      </c>
      <c r="I441" s="11" t="s">
        <v>74</v>
      </c>
      <c r="J441" s="10">
        <v>45536</v>
      </c>
    </row>
    <row r="442" spans="1:10" x14ac:dyDescent="0.3">
      <c r="A442" s="10">
        <v>45958</v>
      </c>
      <c r="B442">
        <v>20220013956</v>
      </c>
      <c r="C442" s="11" t="s">
        <v>85</v>
      </c>
      <c r="D442" s="11" t="s">
        <v>80</v>
      </c>
      <c r="E442" s="11" t="s">
        <v>77</v>
      </c>
      <c r="F442" s="11" t="s">
        <v>4</v>
      </c>
      <c r="G442">
        <v>2200000</v>
      </c>
      <c r="H442" s="11" t="s">
        <v>34</v>
      </c>
      <c r="I442" s="11" t="s">
        <v>74</v>
      </c>
      <c r="J442" s="10">
        <v>45536</v>
      </c>
    </row>
    <row r="443" spans="1:10" x14ac:dyDescent="0.3">
      <c r="A443" s="10">
        <v>45958</v>
      </c>
      <c r="B443">
        <v>20220013959</v>
      </c>
      <c r="C443" s="11" t="s">
        <v>85</v>
      </c>
      <c r="D443" s="11" t="s">
        <v>80</v>
      </c>
      <c r="E443" s="11" t="s">
        <v>77</v>
      </c>
      <c r="F443" s="11" t="s">
        <v>17</v>
      </c>
      <c r="G443">
        <v>500000</v>
      </c>
      <c r="H443" s="11" t="s">
        <v>24</v>
      </c>
      <c r="I443" s="11" t="s">
        <v>74</v>
      </c>
      <c r="J443" s="10">
        <v>45383</v>
      </c>
    </row>
    <row r="444" spans="1:10" x14ac:dyDescent="0.3">
      <c r="A444" s="10">
        <v>45958</v>
      </c>
      <c r="B444">
        <v>20220013962</v>
      </c>
      <c r="C444" s="11" t="s">
        <v>85</v>
      </c>
      <c r="D444" s="11" t="s">
        <v>80</v>
      </c>
      <c r="E444" s="11" t="s">
        <v>77</v>
      </c>
      <c r="F444" s="11" t="s">
        <v>4</v>
      </c>
      <c r="G444">
        <v>100000</v>
      </c>
      <c r="H444" s="11" t="s">
        <v>34</v>
      </c>
      <c r="I444" s="11" t="s">
        <v>74</v>
      </c>
      <c r="J444" s="10">
        <v>45536</v>
      </c>
    </row>
    <row r="445" spans="1:10" x14ac:dyDescent="0.3">
      <c r="A445" s="10">
        <v>45958</v>
      </c>
      <c r="B445">
        <v>20220013965</v>
      </c>
      <c r="C445" s="11" t="s">
        <v>85</v>
      </c>
      <c r="D445" s="11" t="s">
        <v>81</v>
      </c>
      <c r="E445" s="11" t="s">
        <v>77</v>
      </c>
      <c r="F445" s="11" t="s">
        <v>17</v>
      </c>
      <c r="G445">
        <v>100000</v>
      </c>
      <c r="H445" s="11" t="s">
        <v>24</v>
      </c>
      <c r="I445" s="11" t="s">
        <v>74</v>
      </c>
      <c r="J445" s="10">
        <v>45383</v>
      </c>
    </row>
    <row r="446" spans="1:10" x14ac:dyDescent="0.3">
      <c r="A446" s="10">
        <v>45958</v>
      </c>
      <c r="B446">
        <v>20220013968</v>
      </c>
      <c r="C446" s="11" t="s">
        <v>85</v>
      </c>
      <c r="D446" s="11" t="s">
        <v>80</v>
      </c>
      <c r="E446" s="11" t="s">
        <v>77</v>
      </c>
      <c r="F446" s="11" t="s">
        <v>13</v>
      </c>
      <c r="G446">
        <v>300000</v>
      </c>
      <c r="H446" s="11" t="s">
        <v>21</v>
      </c>
      <c r="I446" s="11" t="s">
        <v>75</v>
      </c>
      <c r="J446" s="10">
        <v>45383</v>
      </c>
    </row>
    <row r="447" spans="1:10" x14ac:dyDescent="0.3">
      <c r="A447" s="10">
        <v>45958</v>
      </c>
      <c r="B447">
        <v>20220013971</v>
      </c>
      <c r="C447" s="11" t="s">
        <v>85</v>
      </c>
      <c r="D447" s="11" t="s">
        <v>80</v>
      </c>
      <c r="E447" s="11" t="s">
        <v>77</v>
      </c>
      <c r="F447" s="11" t="s">
        <v>17</v>
      </c>
      <c r="G447">
        <v>750000</v>
      </c>
      <c r="H447" s="11" t="s">
        <v>24</v>
      </c>
      <c r="I447" s="11" t="s">
        <v>74</v>
      </c>
      <c r="J447" s="10">
        <v>45383</v>
      </c>
    </row>
    <row r="448" spans="1:10" x14ac:dyDescent="0.3">
      <c r="A448" s="10">
        <v>45958</v>
      </c>
      <c r="B448">
        <v>20220013974</v>
      </c>
      <c r="C448" s="11" t="s">
        <v>85</v>
      </c>
      <c r="D448" s="11" t="s">
        <v>80</v>
      </c>
      <c r="E448" s="11" t="s">
        <v>77</v>
      </c>
      <c r="F448" s="11" t="s">
        <v>4</v>
      </c>
      <c r="G448">
        <v>1000000</v>
      </c>
      <c r="H448" s="11" t="s">
        <v>34</v>
      </c>
      <c r="I448" s="11" t="s">
        <v>74</v>
      </c>
      <c r="J448" s="10">
        <v>45536</v>
      </c>
    </row>
    <row r="449" spans="1:10" x14ac:dyDescent="0.3">
      <c r="A449" s="10">
        <v>45958</v>
      </c>
      <c r="B449">
        <v>20220013977</v>
      </c>
      <c r="C449" s="11" t="s">
        <v>85</v>
      </c>
      <c r="D449" s="11" t="s">
        <v>81</v>
      </c>
      <c r="E449" s="11" t="s">
        <v>77</v>
      </c>
      <c r="F449" s="11" t="s">
        <v>9</v>
      </c>
      <c r="G449">
        <v>100000</v>
      </c>
      <c r="H449" s="11" t="s">
        <v>42</v>
      </c>
      <c r="I449" s="11" t="s">
        <v>33</v>
      </c>
      <c r="J449" s="10">
        <v>44958</v>
      </c>
    </row>
    <row r="450" spans="1:10" x14ac:dyDescent="0.3">
      <c r="A450" s="10">
        <v>45958</v>
      </c>
      <c r="B450">
        <v>20220013980</v>
      </c>
      <c r="C450" s="11" t="s">
        <v>85</v>
      </c>
      <c r="D450" s="11" t="s">
        <v>81</v>
      </c>
      <c r="E450" s="11" t="s">
        <v>77</v>
      </c>
      <c r="F450" s="11" t="s">
        <v>50</v>
      </c>
      <c r="G450">
        <v>1300000</v>
      </c>
      <c r="H450" s="11" t="s">
        <v>51</v>
      </c>
      <c r="I450" s="11" t="s">
        <v>33</v>
      </c>
      <c r="J450" s="10">
        <v>44958</v>
      </c>
    </row>
    <row r="451" spans="1:10" x14ac:dyDescent="0.3">
      <c r="A451" s="10">
        <v>45958</v>
      </c>
      <c r="B451">
        <v>20220013983</v>
      </c>
      <c r="C451" s="11" t="s">
        <v>85</v>
      </c>
      <c r="D451" s="11" t="s">
        <v>80</v>
      </c>
      <c r="E451" s="11" t="s">
        <v>77</v>
      </c>
      <c r="F451" s="11" t="s">
        <v>56</v>
      </c>
      <c r="G451">
        <v>100000</v>
      </c>
      <c r="H451" s="11" t="s">
        <v>57</v>
      </c>
      <c r="I451" s="11" t="s">
        <v>74</v>
      </c>
      <c r="J451" s="10">
        <v>45566</v>
      </c>
    </row>
    <row r="452" spans="1:10" x14ac:dyDescent="0.3">
      <c r="A452" s="10">
        <v>45959</v>
      </c>
      <c r="B452">
        <v>20220013986</v>
      </c>
      <c r="C452" s="11" t="s">
        <v>85</v>
      </c>
      <c r="D452" s="11" t="s">
        <v>81</v>
      </c>
      <c r="E452" s="11" t="s">
        <v>77</v>
      </c>
      <c r="F452" s="11" t="s">
        <v>56</v>
      </c>
      <c r="G452">
        <v>1000000</v>
      </c>
      <c r="H452" s="11" t="s">
        <v>57</v>
      </c>
      <c r="I452" s="11" t="s">
        <v>74</v>
      </c>
      <c r="J452" s="10">
        <v>45566</v>
      </c>
    </row>
    <row r="453" spans="1:10" x14ac:dyDescent="0.3">
      <c r="A453" s="10">
        <v>45960</v>
      </c>
      <c r="B453">
        <v>20220013989</v>
      </c>
      <c r="C453" s="11" t="s">
        <v>85</v>
      </c>
      <c r="D453" s="11" t="s">
        <v>81</v>
      </c>
      <c r="E453" s="11" t="s">
        <v>77</v>
      </c>
      <c r="F453" s="11" t="s">
        <v>6</v>
      </c>
      <c r="G453">
        <v>100000</v>
      </c>
      <c r="H453" s="11" t="s">
        <v>68</v>
      </c>
      <c r="I453" s="11" t="s">
        <v>33</v>
      </c>
      <c r="J453" s="10">
        <v>45505</v>
      </c>
    </row>
    <row r="454" spans="1:10" x14ac:dyDescent="0.3">
      <c r="A454" s="10">
        <v>45960</v>
      </c>
      <c r="B454">
        <v>20220013992</v>
      </c>
      <c r="C454" s="11" t="s">
        <v>85</v>
      </c>
      <c r="D454" s="11" t="s">
        <v>80</v>
      </c>
      <c r="E454" s="11" t="s">
        <v>77</v>
      </c>
      <c r="F454" s="11" t="s">
        <v>3</v>
      </c>
      <c r="G454">
        <v>100000</v>
      </c>
      <c r="H454" s="11" t="s">
        <v>27</v>
      </c>
      <c r="I454" s="11" t="s">
        <v>74</v>
      </c>
      <c r="J454" s="10">
        <v>44958</v>
      </c>
    </row>
    <row r="455" spans="1:10" x14ac:dyDescent="0.3">
      <c r="A455" s="10">
        <v>45960</v>
      </c>
      <c r="B455">
        <v>20220013995</v>
      </c>
      <c r="C455" s="11" t="s">
        <v>85</v>
      </c>
      <c r="D455" s="11" t="s">
        <v>80</v>
      </c>
      <c r="E455" s="11" t="s">
        <v>77</v>
      </c>
      <c r="F455" s="11" t="s">
        <v>8</v>
      </c>
      <c r="G455">
        <v>500000</v>
      </c>
      <c r="H455" s="11" t="s">
        <v>32</v>
      </c>
      <c r="I455" s="11" t="s">
        <v>33</v>
      </c>
      <c r="J455" s="10">
        <v>45383</v>
      </c>
    </row>
    <row r="456" spans="1:10" x14ac:dyDescent="0.3">
      <c r="A456" s="10">
        <v>45960</v>
      </c>
      <c r="B456">
        <v>20220013998</v>
      </c>
      <c r="C456" s="11" t="s">
        <v>85</v>
      </c>
      <c r="D456" s="11" t="s">
        <v>80</v>
      </c>
      <c r="E456" s="11" t="s">
        <v>77</v>
      </c>
      <c r="F456" s="11" t="s">
        <v>3</v>
      </c>
      <c r="G456">
        <v>1300000</v>
      </c>
      <c r="H456" s="11" t="s">
        <v>27</v>
      </c>
      <c r="I456" s="11" t="s">
        <v>74</v>
      </c>
      <c r="J456" s="10">
        <v>44958</v>
      </c>
    </row>
    <row r="457" spans="1:10" x14ac:dyDescent="0.3">
      <c r="A457" s="10">
        <v>45960</v>
      </c>
      <c r="B457">
        <v>20220014001</v>
      </c>
      <c r="C457" s="11" t="s">
        <v>85</v>
      </c>
      <c r="D457" s="11" t="s">
        <v>80</v>
      </c>
      <c r="E457" s="11" t="s">
        <v>77</v>
      </c>
      <c r="F457" s="11" t="s">
        <v>48</v>
      </c>
      <c r="G457">
        <v>300000</v>
      </c>
      <c r="H457" s="11" t="s">
        <v>49</v>
      </c>
      <c r="I457" s="11" t="s">
        <v>33</v>
      </c>
      <c r="J457" s="10">
        <v>45383</v>
      </c>
    </row>
    <row r="458" spans="1:10" x14ac:dyDescent="0.3">
      <c r="A458" s="10">
        <v>45960</v>
      </c>
      <c r="B458">
        <v>20220014004</v>
      </c>
      <c r="C458" s="11" t="s">
        <v>85</v>
      </c>
      <c r="D458" s="11" t="s">
        <v>80</v>
      </c>
      <c r="E458" s="11" t="s">
        <v>77</v>
      </c>
      <c r="F458" s="11" t="s">
        <v>3</v>
      </c>
      <c r="G458">
        <v>750000</v>
      </c>
      <c r="H458" s="11" t="s">
        <v>27</v>
      </c>
      <c r="I458" s="11" t="s">
        <v>74</v>
      </c>
      <c r="J458" s="10">
        <v>44958</v>
      </c>
    </row>
    <row r="459" spans="1:10" x14ac:dyDescent="0.3">
      <c r="A459" s="10">
        <v>45960</v>
      </c>
      <c r="B459">
        <v>20220014007</v>
      </c>
      <c r="C459" s="11" t="s">
        <v>85</v>
      </c>
      <c r="D459" s="11" t="s">
        <v>80</v>
      </c>
      <c r="E459" s="11" t="s">
        <v>77</v>
      </c>
      <c r="F459" s="11" t="s">
        <v>3</v>
      </c>
      <c r="G459">
        <v>100000</v>
      </c>
      <c r="H459" s="11" t="s">
        <v>27</v>
      </c>
      <c r="I459" s="11" t="s">
        <v>74</v>
      </c>
      <c r="J459" s="10">
        <v>44958</v>
      </c>
    </row>
    <row r="460" spans="1:10" x14ac:dyDescent="0.3">
      <c r="A460" s="10">
        <v>45960</v>
      </c>
      <c r="B460">
        <v>20220014010</v>
      </c>
      <c r="C460" s="11" t="s">
        <v>85</v>
      </c>
      <c r="D460" s="11" t="s">
        <v>80</v>
      </c>
      <c r="E460" s="11" t="s">
        <v>77</v>
      </c>
      <c r="F460" s="11" t="s">
        <v>3</v>
      </c>
      <c r="G460">
        <v>300000</v>
      </c>
      <c r="H460" s="11" t="s">
        <v>27</v>
      </c>
      <c r="I460" s="11" t="s">
        <v>74</v>
      </c>
      <c r="J460" s="10">
        <v>44958</v>
      </c>
    </row>
    <row r="461" spans="1:10" x14ac:dyDescent="0.3">
      <c r="A461" s="10">
        <v>45960</v>
      </c>
      <c r="B461">
        <v>20220014013</v>
      </c>
      <c r="C461" s="11" t="s">
        <v>85</v>
      </c>
      <c r="D461" s="11" t="s">
        <v>81</v>
      </c>
      <c r="E461" s="11" t="s">
        <v>77</v>
      </c>
      <c r="F461" s="11" t="s">
        <v>3</v>
      </c>
      <c r="G461">
        <v>300000</v>
      </c>
      <c r="H461" s="11" t="s">
        <v>27</v>
      </c>
      <c r="I461" s="11" t="s">
        <v>74</v>
      </c>
      <c r="J461" s="10">
        <v>44958</v>
      </c>
    </row>
    <row r="462" spans="1:10" x14ac:dyDescent="0.3">
      <c r="A462" s="10">
        <v>45960</v>
      </c>
      <c r="B462">
        <v>20220014016</v>
      </c>
      <c r="C462" s="11" t="s">
        <v>85</v>
      </c>
      <c r="D462" s="11" t="s">
        <v>80</v>
      </c>
      <c r="E462" s="11" t="s">
        <v>77</v>
      </c>
      <c r="F462" s="11" t="s">
        <v>3</v>
      </c>
      <c r="G462">
        <v>100000</v>
      </c>
      <c r="H462" s="11" t="s">
        <v>27</v>
      </c>
      <c r="I462" s="11" t="s">
        <v>74</v>
      </c>
      <c r="J462" s="10">
        <v>44958</v>
      </c>
    </row>
    <row r="463" spans="1:10" x14ac:dyDescent="0.3">
      <c r="A463" s="10">
        <v>45960</v>
      </c>
      <c r="B463">
        <v>20220014019</v>
      </c>
      <c r="C463" s="11" t="s">
        <v>85</v>
      </c>
      <c r="D463" s="11" t="s">
        <v>80</v>
      </c>
      <c r="E463" s="11" t="s">
        <v>77</v>
      </c>
      <c r="F463" s="11" t="s">
        <v>3</v>
      </c>
      <c r="G463">
        <v>1000000</v>
      </c>
      <c r="H463" s="11" t="s">
        <v>27</v>
      </c>
      <c r="I463" s="11" t="s">
        <v>74</v>
      </c>
      <c r="J463" s="10">
        <v>44958</v>
      </c>
    </row>
    <row r="464" spans="1:10" x14ac:dyDescent="0.3">
      <c r="A464" s="10">
        <v>45960</v>
      </c>
      <c r="B464">
        <v>20220014022</v>
      </c>
      <c r="C464" s="11" t="s">
        <v>85</v>
      </c>
      <c r="D464" s="11" t="s">
        <v>81</v>
      </c>
      <c r="E464" s="11" t="s">
        <v>77</v>
      </c>
      <c r="F464" s="11" t="s">
        <v>3</v>
      </c>
      <c r="G464">
        <v>100000</v>
      </c>
      <c r="H464" s="11" t="s">
        <v>27</v>
      </c>
      <c r="I464" s="11" t="s">
        <v>74</v>
      </c>
      <c r="J464" s="10">
        <v>44958</v>
      </c>
    </row>
    <row r="465" spans="1:10" x14ac:dyDescent="0.3">
      <c r="A465" s="10">
        <v>45960</v>
      </c>
      <c r="B465">
        <v>20220014025</v>
      </c>
      <c r="C465" s="11" t="s">
        <v>85</v>
      </c>
      <c r="D465" s="11" t="s">
        <v>81</v>
      </c>
      <c r="E465" s="11" t="s">
        <v>77</v>
      </c>
      <c r="F465" s="11" t="s">
        <v>3</v>
      </c>
      <c r="G465">
        <v>100000</v>
      </c>
      <c r="H465" s="11" t="s">
        <v>27</v>
      </c>
      <c r="I465" s="11" t="s">
        <v>74</v>
      </c>
      <c r="J465" s="10">
        <v>44958</v>
      </c>
    </row>
    <row r="466" spans="1:10" x14ac:dyDescent="0.3">
      <c r="A466" s="10">
        <v>45960</v>
      </c>
      <c r="B466">
        <v>20220014028</v>
      </c>
      <c r="C466" s="11" t="s">
        <v>85</v>
      </c>
      <c r="D466" s="11" t="s">
        <v>80</v>
      </c>
      <c r="E466" s="11" t="s">
        <v>77</v>
      </c>
      <c r="F466" s="11" t="s">
        <v>3</v>
      </c>
      <c r="G466">
        <v>2000000</v>
      </c>
      <c r="H466" s="11" t="s">
        <v>27</v>
      </c>
      <c r="I466" s="11" t="s">
        <v>74</v>
      </c>
      <c r="J466" s="10">
        <v>44958</v>
      </c>
    </row>
    <row r="467" spans="1:10" x14ac:dyDescent="0.3">
      <c r="A467" s="10">
        <v>45960</v>
      </c>
      <c r="B467">
        <v>20220014031</v>
      </c>
      <c r="C467" s="11" t="s">
        <v>85</v>
      </c>
      <c r="D467" s="11" t="s">
        <v>80</v>
      </c>
      <c r="E467" s="11" t="s">
        <v>77</v>
      </c>
      <c r="F467" s="11" t="s">
        <v>3</v>
      </c>
      <c r="G467">
        <v>2000000</v>
      </c>
      <c r="H467" s="11" t="s">
        <v>27</v>
      </c>
      <c r="I467" s="11" t="s">
        <v>74</v>
      </c>
      <c r="J467" s="10">
        <v>44958</v>
      </c>
    </row>
    <row r="468" spans="1:10" x14ac:dyDescent="0.3">
      <c r="A468" s="10">
        <v>45960</v>
      </c>
      <c r="B468">
        <v>20220014034</v>
      </c>
      <c r="C468" s="11" t="s">
        <v>85</v>
      </c>
      <c r="D468" s="11" t="s">
        <v>80</v>
      </c>
      <c r="E468" s="11" t="s">
        <v>77</v>
      </c>
      <c r="F468" s="11" t="s">
        <v>64</v>
      </c>
      <c r="G468">
        <v>300000</v>
      </c>
      <c r="H468" s="11" t="s">
        <v>65</v>
      </c>
      <c r="I468" s="11" t="s">
        <v>33</v>
      </c>
      <c r="J468" s="10">
        <v>45748</v>
      </c>
    </row>
    <row r="469" spans="1:10" x14ac:dyDescent="0.3">
      <c r="A469" s="10">
        <v>45960</v>
      </c>
      <c r="B469">
        <v>20220014037</v>
      </c>
      <c r="C469" s="11" t="s">
        <v>85</v>
      </c>
      <c r="D469" s="11" t="s">
        <v>80</v>
      </c>
      <c r="E469" s="11" t="s">
        <v>77</v>
      </c>
      <c r="F469" s="11" t="s">
        <v>64</v>
      </c>
      <c r="G469">
        <v>300000</v>
      </c>
      <c r="H469" s="11" t="s">
        <v>65</v>
      </c>
      <c r="I469" s="11" t="s">
        <v>33</v>
      </c>
      <c r="J469" s="10">
        <v>45748</v>
      </c>
    </row>
    <row r="470" spans="1:10" x14ac:dyDescent="0.3">
      <c r="A470" s="10">
        <v>45960</v>
      </c>
      <c r="B470">
        <v>20220014040</v>
      </c>
      <c r="C470" s="11" t="s">
        <v>85</v>
      </c>
      <c r="D470" s="11" t="s">
        <v>80</v>
      </c>
      <c r="E470" s="11" t="s">
        <v>77</v>
      </c>
      <c r="F470" s="11" t="s">
        <v>44</v>
      </c>
      <c r="G470">
        <v>1000000</v>
      </c>
      <c r="H470" s="11" t="s">
        <v>43</v>
      </c>
      <c r="I470" s="11" t="s">
        <v>33</v>
      </c>
      <c r="J470" s="10">
        <v>45901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F7E2-6A7C-4309-87BA-0B50F9ADD51E}">
  <dimension ref="A1:D33"/>
  <sheetViews>
    <sheetView topLeftCell="A5" workbookViewId="0"/>
  </sheetViews>
  <sheetFormatPr defaultRowHeight="14.4" x14ac:dyDescent="0.3"/>
  <cols>
    <col min="1" max="1" width="12.88671875" bestFit="1" customWidth="1"/>
    <col min="2" max="2" width="12.44140625" bestFit="1" customWidth="1"/>
    <col min="3" max="3" width="9" bestFit="1" customWidth="1"/>
    <col min="4" max="4" width="14.21875" bestFit="1" customWidth="1"/>
  </cols>
  <sheetData>
    <row r="1" spans="1:4" x14ac:dyDescent="0.3">
      <c r="A1" t="s">
        <v>58</v>
      </c>
      <c r="B1" t="s">
        <v>19</v>
      </c>
      <c r="C1" t="s">
        <v>20</v>
      </c>
      <c r="D1" t="s">
        <v>66</v>
      </c>
    </row>
    <row r="2" spans="1:4" x14ac:dyDescent="0.3">
      <c r="A2" s="11" t="s">
        <v>52</v>
      </c>
      <c r="B2" s="11" t="s">
        <v>53</v>
      </c>
      <c r="C2" s="11" t="s">
        <v>75</v>
      </c>
      <c r="D2" s="10">
        <v>44958</v>
      </c>
    </row>
    <row r="3" spans="1:4" x14ac:dyDescent="0.3">
      <c r="A3" s="11" t="s">
        <v>13</v>
      </c>
      <c r="B3" s="11" t="s">
        <v>21</v>
      </c>
      <c r="C3" s="11" t="s">
        <v>75</v>
      </c>
      <c r="D3" s="10">
        <v>45383</v>
      </c>
    </row>
    <row r="4" spans="1:4" x14ac:dyDescent="0.3">
      <c r="A4" s="11" t="s">
        <v>54</v>
      </c>
      <c r="B4" s="11" t="s">
        <v>71</v>
      </c>
      <c r="C4" s="11" t="s">
        <v>75</v>
      </c>
      <c r="D4" s="10">
        <v>45717</v>
      </c>
    </row>
    <row r="5" spans="1:4" x14ac:dyDescent="0.3">
      <c r="A5" s="11" t="s">
        <v>23</v>
      </c>
      <c r="B5" s="11" t="s">
        <v>22</v>
      </c>
      <c r="C5" s="11" t="s">
        <v>74</v>
      </c>
      <c r="D5" s="10">
        <v>45962</v>
      </c>
    </row>
    <row r="6" spans="1:4" x14ac:dyDescent="0.3">
      <c r="A6" s="11" t="s">
        <v>56</v>
      </c>
      <c r="B6" s="11" t="s">
        <v>57</v>
      </c>
      <c r="C6" s="11" t="s">
        <v>74</v>
      </c>
      <c r="D6" s="10">
        <v>45566</v>
      </c>
    </row>
    <row r="7" spans="1:4" x14ac:dyDescent="0.3">
      <c r="A7" s="11" t="s">
        <v>17</v>
      </c>
      <c r="B7" s="11" t="s">
        <v>24</v>
      </c>
      <c r="C7" s="11" t="s">
        <v>74</v>
      </c>
      <c r="D7" s="10">
        <v>45383</v>
      </c>
    </row>
    <row r="8" spans="1:4" x14ac:dyDescent="0.3">
      <c r="A8" s="11" t="s">
        <v>2</v>
      </c>
      <c r="B8" s="11" t="s">
        <v>25</v>
      </c>
      <c r="C8" s="11" t="s">
        <v>75</v>
      </c>
      <c r="D8" s="10">
        <v>45809</v>
      </c>
    </row>
    <row r="9" spans="1:4" x14ac:dyDescent="0.3">
      <c r="A9" s="11" t="s">
        <v>15</v>
      </c>
      <c r="B9" s="11" t="s">
        <v>26</v>
      </c>
      <c r="C9" s="11" t="s">
        <v>74</v>
      </c>
      <c r="D9" s="10">
        <v>45383</v>
      </c>
    </row>
    <row r="10" spans="1:4" x14ac:dyDescent="0.3">
      <c r="A10" s="11" t="s">
        <v>3</v>
      </c>
      <c r="B10" s="11" t="s">
        <v>27</v>
      </c>
      <c r="C10" s="11" t="s">
        <v>74</v>
      </c>
      <c r="D10" s="10">
        <v>44958</v>
      </c>
    </row>
    <row r="11" spans="1:4" x14ac:dyDescent="0.3">
      <c r="A11" s="11" t="s">
        <v>14</v>
      </c>
      <c r="B11" s="11" t="s">
        <v>70</v>
      </c>
      <c r="C11" s="11" t="s">
        <v>74</v>
      </c>
      <c r="D11" s="10">
        <v>45809</v>
      </c>
    </row>
    <row r="12" spans="1:4" x14ac:dyDescent="0.3">
      <c r="A12" s="11" t="s">
        <v>55</v>
      </c>
      <c r="B12" s="11" t="s">
        <v>59</v>
      </c>
      <c r="C12" s="11" t="s">
        <v>74</v>
      </c>
      <c r="D12" s="10">
        <v>44986</v>
      </c>
    </row>
    <row r="13" spans="1:4" x14ac:dyDescent="0.3">
      <c r="A13" s="11" t="s">
        <v>29</v>
      </c>
      <c r="B13" s="11" t="s">
        <v>28</v>
      </c>
      <c r="C13" s="11" t="s">
        <v>75</v>
      </c>
      <c r="D13" s="10">
        <v>45717</v>
      </c>
    </row>
    <row r="14" spans="1:4" x14ac:dyDescent="0.3">
      <c r="A14" s="11" t="s">
        <v>31</v>
      </c>
      <c r="B14" s="11" t="s">
        <v>30</v>
      </c>
      <c r="C14" s="11" t="s">
        <v>75</v>
      </c>
      <c r="D14" s="10">
        <v>45566</v>
      </c>
    </row>
    <row r="15" spans="1:4" x14ac:dyDescent="0.3">
      <c r="A15" s="11" t="s">
        <v>8</v>
      </c>
      <c r="B15" s="11" t="s">
        <v>32</v>
      </c>
      <c r="C15" s="11" t="s">
        <v>33</v>
      </c>
      <c r="D15" s="10">
        <v>45383</v>
      </c>
    </row>
    <row r="16" spans="1:4" x14ac:dyDescent="0.3">
      <c r="A16" s="11" t="s">
        <v>4</v>
      </c>
      <c r="B16" s="11" t="s">
        <v>34</v>
      </c>
      <c r="C16" s="11" t="s">
        <v>74</v>
      </c>
      <c r="D16" s="10">
        <v>45536</v>
      </c>
    </row>
    <row r="17" spans="1:4" x14ac:dyDescent="0.3">
      <c r="A17" s="11" t="s">
        <v>18</v>
      </c>
      <c r="B17" s="11" t="s">
        <v>35</v>
      </c>
      <c r="C17" s="11" t="s">
        <v>74</v>
      </c>
      <c r="D17" s="10">
        <v>45809</v>
      </c>
    </row>
    <row r="18" spans="1:4" x14ac:dyDescent="0.3">
      <c r="A18" s="11" t="s">
        <v>12</v>
      </c>
      <c r="B18" s="11" t="s">
        <v>69</v>
      </c>
      <c r="C18" s="11" t="s">
        <v>75</v>
      </c>
      <c r="D18" s="10">
        <v>44986</v>
      </c>
    </row>
    <row r="19" spans="1:4" x14ac:dyDescent="0.3">
      <c r="A19" s="11" t="s">
        <v>5</v>
      </c>
      <c r="B19" s="11" t="s">
        <v>36</v>
      </c>
      <c r="C19" s="11" t="s">
        <v>33</v>
      </c>
      <c r="D19" s="10">
        <v>45748</v>
      </c>
    </row>
    <row r="20" spans="1:4" x14ac:dyDescent="0.3">
      <c r="A20" s="11" t="s">
        <v>16</v>
      </c>
      <c r="B20" s="11" t="s">
        <v>37</v>
      </c>
      <c r="C20" s="11" t="s">
        <v>74</v>
      </c>
      <c r="D20" s="10">
        <v>45566</v>
      </c>
    </row>
    <row r="21" spans="1:4" x14ac:dyDescent="0.3">
      <c r="A21" s="11" t="s">
        <v>39</v>
      </c>
      <c r="B21" s="11" t="s">
        <v>38</v>
      </c>
      <c r="C21" s="11" t="s">
        <v>74</v>
      </c>
      <c r="D21" s="10">
        <v>45505</v>
      </c>
    </row>
    <row r="22" spans="1:4" x14ac:dyDescent="0.3">
      <c r="A22" s="11" t="s">
        <v>50</v>
      </c>
      <c r="B22" s="11" t="s">
        <v>51</v>
      </c>
      <c r="C22" s="11" t="s">
        <v>33</v>
      </c>
      <c r="D22" s="10">
        <v>44958</v>
      </c>
    </row>
    <row r="23" spans="1:4" x14ac:dyDescent="0.3">
      <c r="A23" s="11" t="s">
        <v>41</v>
      </c>
      <c r="B23" s="11" t="s">
        <v>40</v>
      </c>
      <c r="C23" s="11" t="s">
        <v>33</v>
      </c>
      <c r="D23" s="10">
        <v>45809</v>
      </c>
    </row>
    <row r="24" spans="1:4" x14ac:dyDescent="0.3">
      <c r="A24" s="11" t="s">
        <v>9</v>
      </c>
      <c r="B24" s="11" t="s">
        <v>42</v>
      </c>
      <c r="C24" s="11" t="s">
        <v>33</v>
      </c>
      <c r="D24" s="10">
        <v>44958</v>
      </c>
    </row>
    <row r="25" spans="1:4" x14ac:dyDescent="0.3">
      <c r="A25" s="11" t="s">
        <v>44</v>
      </c>
      <c r="B25" s="11" t="s">
        <v>43</v>
      </c>
      <c r="C25" s="11" t="s">
        <v>33</v>
      </c>
      <c r="D25" s="10">
        <v>45901</v>
      </c>
    </row>
    <row r="26" spans="1:4" x14ac:dyDescent="0.3">
      <c r="A26" s="11" t="s">
        <v>48</v>
      </c>
      <c r="B26" s="11" t="s">
        <v>49</v>
      </c>
      <c r="C26" s="11" t="s">
        <v>33</v>
      </c>
      <c r="D26" s="10">
        <v>45383</v>
      </c>
    </row>
    <row r="27" spans="1:4" x14ac:dyDescent="0.3">
      <c r="A27" s="11" t="s">
        <v>11</v>
      </c>
      <c r="B27" s="11" t="s">
        <v>45</v>
      </c>
      <c r="C27" s="11" t="s">
        <v>75</v>
      </c>
      <c r="D27" s="10">
        <v>45962</v>
      </c>
    </row>
    <row r="28" spans="1:4" x14ac:dyDescent="0.3">
      <c r="A28" s="11" t="s">
        <v>6</v>
      </c>
      <c r="B28" s="11" t="s">
        <v>68</v>
      </c>
      <c r="C28" s="11" t="s">
        <v>33</v>
      </c>
      <c r="D28" s="10">
        <v>45505</v>
      </c>
    </row>
    <row r="29" spans="1:4" x14ac:dyDescent="0.3">
      <c r="A29" s="11" t="s">
        <v>10</v>
      </c>
      <c r="B29" s="11" t="s">
        <v>46</v>
      </c>
      <c r="C29" s="11" t="s">
        <v>75</v>
      </c>
      <c r="D29" s="10">
        <v>44958</v>
      </c>
    </row>
    <row r="30" spans="1:4" x14ac:dyDescent="0.3">
      <c r="A30" s="11" t="s">
        <v>7</v>
      </c>
      <c r="B30" s="11" t="s">
        <v>47</v>
      </c>
      <c r="C30" s="11" t="s">
        <v>33</v>
      </c>
      <c r="D30" s="10">
        <v>44958</v>
      </c>
    </row>
    <row r="31" spans="1:4" x14ac:dyDescent="0.3">
      <c r="A31" s="11" t="s">
        <v>60</v>
      </c>
      <c r="B31" s="11" t="s">
        <v>61</v>
      </c>
      <c r="C31" s="11" t="s">
        <v>75</v>
      </c>
      <c r="D31" s="10">
        <v>45748</v>
      </c>
    </row>
    <row r="32" spans="1:4" x14ac:dyDescent="0.3">
      <c r="A32" s="11" t="s">
        <v>62</v>
      </c>
      <c r="B32" s="11" t="s">
        <v>63</v>
      </c>
      <c r="C32" s="11" t="s">
        <v>75</v>
      </c>
      <c r="D32" s="10">
        <v>45778</v>
      </c>
    </row>
    <row r="33" spans="1:4" x14ac:dyDescent="0.3">
      <c r="A33" s="11" t="s">
        <v>64</v>
      </c>
      <c r="B33" s="11" t="s">
        <v>65</v>
      </c>
      <c r="C33" s="11" t="s">
        <v>33</v>
      </c>
      <c r="D33" s="10">
        <v>45748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75A2-60A1-4FF6-93CD-977DC54C7B60}">
  <dimension ref="B2:E34"/>
  <sheetViews>
    <sheetView workbookViewId="0">
      <pane ySplit="2" topLeftCell="A3" activePane="bottomLeft" state="frozen"/>
      <selection pane="bottomLeft" activeCell="D34" sqref="D34"/>
    </sheetView>
  </sheetViews>
  <sheetFormatPr defaultRowHeight="14.4" x14ac:dyDescent="0.3"/>
  <cols>
    <col min="2" max="2" width="12.5546875" customWidth="1"/>
    <col min="3" max="3" width="12.109375" customWidth="1"/>
    <col min="4" max="4" width="15" bestFit="1" customWidth="1"/>
    <col min="5" max="5" width="13.5546875" bestFit="1" customWidth="1"/>
    <col min="8" max="8" width="18.5546875" bestFit="1" customWidth="1"/>
  </cols>
  <sheetData>
    <row r="2" spans="2:5" x14ac:dyDescent="0.3">
      <c r="B2" t="s">
        <v>58</v>
      </c>
      <c r="C2" t="s">
        <v>19</v>
      </c>
      <c r="D2" t="s">
        <v>20</v>
      </c>
      <c r="E2" t="s">
        <v>66</v>
      </c>
    </row>
    <row r="3" spans="2:5" hidden="1" x14ac:dyDescent="0.3">
      <c r="B3" t="s">
        <v>52</v>
      </c>
      <c r="C3" t="s">
        <v>53</v>
      </c>
      <c r="D3" t="s">
        <v>75</v>
      </c>
      <c r="E3" s="1">
        <v>44958</v>
      </c>
    </row>
    <row r="4" spans="2:5" hidden="1" x14ac:dyDescent="0.3">
      <c r="B4" t="s">
        <v>13</v>
      </c>
      <c r="C4" t="s">
        <v>21</v>
      </c>
      <c r="D4" t="s">
        <v>75</v>
      </c>
      <c r="E4" s="1">
        <v>45383</v>
      </c>
    </row>
    <row r="5" spans="2:5" hidden="1" x14ac:dyDescent="0.3">
      <c r="B5" t="s">
        <v>54</v>
      </c>
      <c r="C5" t="s">
        <v>71</v>
      </c>
      <c r="D5" t="s">
        <v>75</v>
      </c>
      <c r="E5" s="1">
        <v>45717</v>
      </c>
    </row>
    <row r="6" spans="2:5" hidden="1" x14ac:dyDescent="0.3">
      <c r="B6" t="s">
        <v>23</v>
      </c>
      <c r="C6" t="s">
        <v>22</v>
      </c>
      <c r="D6" t="s">
        <v>74</v>
      </c>
      <c r="E6" s="1">
        <v>45962</v>
      </c>
    </row>
    <row r="7" spans="2:5" hidden="1" x14ac:dyDescent="0.3">
      <c r="B7" t="s">
        <v>56</v>
      </c>
      <c r="C7" t="s">
        <v>57</v>
      </c>
      <c r="D7" t="s">
        <v>74</v>
      </c>
      <c r="E7" s="1">
        <v>45566</v>
      </c>
    </row>
    <row r="8" spans="2:5" hidden="1" x14ac:dyDescent="0.3">
      <c r="B8" t="s">
        <v>17</v>
      </c>
      <c r="C8" t="s">
        <v>24</v>
      </c>
      <c r="D8" t="s">
        <v>74</v>
      </c>
      <c r="E8" s="1">
        <v>45383</v>
      </c>
    </row>
    <row r="9" spans="2:5" hidden="1" x14ac:dyDescent="0.3">
      <c r="B9" t="s">
        <v>2</v>
      </c>
      <c r="C9" t="s">
        <v>25</v>
      </c>
      <c r="D9" t="s">
        <v>75</v>
      </c>
      <c r="E9" s="1">
        <v>45809</v>
      </c>
    </row>
    <row r="10" spans="2:5" hidden="1" x14ac:dyDescent="0.3">
      <c r="B10" t="s">
        <v>15</v>
      </c>
      <c r="C10" t="s">
        <v>26</v>
      </c>
      <c r="D10" t="s">
        <v>74</v>
      </c>
      <c r="E10" s="1">
        <v>45383</v>
      </c>
    </row>
    <row r="11" spans="2:5" hidden="1" x14ac:dyDescent="0.3">
      <c r="B11" t="s">
        <v>3</v>
      </c>
      <c r="C11" t="s">
        <v>27</v>
      </c>
      <c r="D11" t="s">
        <v>74</v>
      </c>
      <c r="E11" s="1">
        <v>44958</v>
      </c>
    </row>
    <row r="12" spans="2:5" hidden="1" x14ac:dyDescent="0.3">
      <c r="B12" t="s">
        <v>14</v>
      </c>
      <c r="C12" t="s">
        <v>70</v>
      </c>
      <c r="D12" t="s">
        <v>74</v>
      </c>
      <c r="E12" s="1">
        <v>45809</v>
      </c>
    </row>
    <row r="13" spans="2:5" hidden="1" x14ac:dyDescent="0.3">
      <c r="B13" t="s">
        <v>55</v>
      </c>
      <c r="C13" t="s">
        <v>59</v>
      </c>
      <c r="D13" t="s">
        <v>74</v>
      </c>
      <c r="E13" s="1">
        <v>44986</v>
      </c>
    </row>
    <row r="14" spans="2:5" hidden="1" x14ac:dyDescent="0.3">
      <c r="B14" t="s">
        <v>29</v>
      </c>
      <c r="C14" t="s">
        <v>28</v>
      </c>
      <c r="D14" t="s">
        <v>75</v>
      </c>
      <c r="E14" s="1">
        <v>45717</v>
      </c>
    </row>
    <row r="15" spans="2:5" hidden="1" x14ac:dyDescent="0.3">
      <c r="B15" t="s">
        <v>31</v>
      </c>
      <c r="C15" t="s">
        <v>30</v>
      </c>
      <c r="D15" t="s">
        <v>75</v>
      </c>
      <c r="E15" s="1">
        <v>45566</v>
      </c>
    </row>
    <row r="16" spans="2:5" x14ac:dyDescent="0.3">
      <c r="B16" t="s">
        <v>8</v>
      </c>
      <c r="C16" t="s">
        <v>32</v>
      </c>
      <c r="D16" t="s">
        <v>33</v>
      </c>
      <c r="E16" s="1">
        <v>45383</v>
      </c>
    </row>
    <row r="17" spans="2:5" hidden="1" x14ac:dyDescent="0.3">
      <c r="B17" t="s">
        <v>4</v>
      </c>
      <c r="C17" t="s">
        <v>34</v>
      </c>
      <c r="D17" t="s">
        <v>74</v>
      </c>
      <c r="E17" s="1">
        <v>45536</v>
      </c>
    </row>
    <row r="18" spans="2:5" hidden="1" x14ac:dyDescent="0.3">
      <c r="B18" t="s">
        <v>18</v>
      </c>
      <c r="C18" t="s">
        <v>35</v>
      </c>
      <c r="D18" t="s">
        <v>74</v>
      </c>
      <c r="E18" s="1">
        <v>45809</v>
      </c>
    </row>
    <row r="19" spans="2:5" hidden="1" x14ac:dyDescent="0.3">
      <c r="B19" t="s">
        <v>12</v>
      </c>
      <c r="C19" t="s">
        <v>69</v>
      </c>
      <c r="D19" t="s">
        <v>75</v>
      </c>
      <c r="E19" s="1">
        <v>44986</v>
      </c>
    </row>
    <row r="20" spans="2:5" x14ac:dyDescent="0.3">
      <c r="B20" t="s">
        <v>5</v>
      </c>
      <c r="C20" t="s">
        <v>36</v>
      </c>
      <c r="D20" t="s">
        <v>33</v>
      </c>
      <c r="E20" s="1">
        <v>45748</v>
      </c>
    </row>
    <row r="21" spans="2:5" hidden="1" x14ac:dyDescent="0.3">
      <c r="B21" t="s">
        <v>16</v>
      </c>
      <c r="C21" t="s">
        <v>37</v>
      </c>
      <c r="D21" t="s">
        <v>74</v>
      </c>
      <c r="E21" s="1">
        <v>45566</v>
      </c>
    </row>
    <row r="22" spans="2:5" hidden="1" x14ac:dyDescent="0.3">
      <c r="B22" t="s">
        <v>39</v>
      </c>
      <c r="C22" t="s">
        <v>38</v>
      </c>
      <c r="D22" t="s">
        <v>74</v>
      </c>
      <c r="E22" s="1">
        <v>45505</v>
      </c>
    </row>
    <row r="23" spans="2:5" x14ac:dyDescent="0.3">
      <c r="B23" t="s">
        <v>50</v>
      </c>
      <c r="C23" t="s">
        <v>51</v>
      </c>
      <c r="D23" t="s">
        <v>33</v>
      </c>
      <c r="E23" s="1">
        <v>44958</v>
      </c>
    </row>
    <row r="24" spans="2:5" x14ac:dyDescent="0.3">
      <c r="B24" t="s">
        <v>41</v>
      </c>
      <c r="C24" t="s">
        <v>40</v>
      </c>
      <c r="D24" t="s">
        <v>33</v>
      </c>
      <c r="E24" s="1">
        <v>45809</v>
      </c>
    </row>
    <row r="25" spans="2:5" x14ac:dyDescent="0.3">
      <c r="B25" t="s">
        <v>9</v>
      </c>
      <c r="C25" t="s">
        <v>42</v>
      </c>
      <c r="D25" t="s">
        <v>33</v>
      </c>
      <c r="E25" s="1">
        <v>44958</v>
      </c>
    </row>
    <row r="26" spans="2:5" x14ac:dyDescent="0.3">
      <c r="B26" t="s">
        <v>44</v>
      </c>
      <c r="C26" t="s">
        <v>43</v>
      </c>
      <c r="D26" t="s">
        <v>33</v>
      </c>
      <c r="E26" s="1">
        <v>45901</v>
      </c>
    </row>
    <row r="27" spans="2:5" x14ac:dyDescent="0.3">
      <c r="B27" t="s">
        <v>48</v>
      </c>
      <c r="C27" t="s">
        <v>49</v>
      </c>
      <c r="D27" t="s">
        <v>33</v>
      </c>
      <c r="E27" s="1">
        <v>45383</v>
      </c>
    </row>
    <row r="28" spans="2:5" hidden="1" x14ac:dyDescent="0.3">
      <c r="B28" t="s">
        <v>11</v>
      </c>
      <c r="C28" t="s">
        <v>45</v>
      </c>
      <c r="D28" t="s">
        <v>75</v>
      </c>
      <c r="E28" s="1">
        <v>45962</v>
      </c>
    </row>
    <row r="29" spans="2:5" x14ac:dyDescent="0.3">
      <c r="B29" t="s">
        <v>6</v>
      </c>
      <c r="C29" t="s">
        <v>68</v>
      </c>
      <c r="D29" t="s">
        <v>33</v>
      </c>
      <c r="E29" s="1">
        <v>45505</v>
      </c>
    </row>
    <row r="30" spans="2:5" hidden="1" x14ac:dyDescent="0.3">
      <c r="B30" t="s">
        <v>10</v>
      </c>
      <c r="C30" t="s">
        <v>46</v>
      </c>
      <c r="D30" t="s">
        <v>75</v>
      </c>
      <c r="E30" s="1">
        <v>44958</v>
      </c>
    </row>
    <row r="31" spans="2:5" x14ac:dyDescent="0.3">
      <c r="B31" t="s">
        <v>7</v>
      </c>
      <c r="C31" t="s">
        <v>47</v>
      </c>
      <c r="D31" t="s">
        <v>33</v>
      </c>
      <c r="E31" s="1">
        <v>44958</v>
      </c>
    </row>
    <row r="32" spans="2:5" hidden="1" x14ac:dyDescent="0.3">
      <c r="B32" t="s">
        <v>60</v>
      </c>
      <c r="C32" t="s">
        <v>61</v>
      </c>
      <c r="D32" t="s">
        <v>75</v>
      </c>
      <c r="E32" s="1">
        <v>45748</v>
      </c>
    </row>
    <row r="33" spans="2:5" hidden="1" x14ac:dyDescent="0.3">
      <c r="B33" t="s">
        <v>62</v>
      </c>
      <c r="C33" t="s">
        <v>63</v>
      </c>
      <c r="D33" t="s">
        <v>75</v>
      </c>
      <c r="E33" s="1">
        <v>45778</v>
      </c>
    </row>
    <row r="34" spans="2:5" x14ac:dyDescent="0.3">
      <c r="B34" t="s">
        <v>64</v>
      </c>
      <c r="C34" t="s">
        <v>65</v>
      </c>
      <c r="D34" t="s">
        <v>33</v>
      </c>
      <c r="E34" s="1">
        <v>45748</v>
      </c>
    </row>
  </sheetData>
  <conditionalFormatting sqref="B1:B1048576">
    <cfRule type="duplicateValues" dxfId="10" priority="2"/>
  </conditionalFormatting>
  <conditionalFormatting sqref="C1:C1048576">
    <cfRule type="duplicateValues" dxfId="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C773-8E01-4932-8E55-F66A8F28F34F}">
  <dimension ref="A1:K6"/>
  <sheetViews>
    <sheetView workbookViewId="0">
      <selection activeCell="J6" sqref="J6"/>
    </sheetView>
  </sheetViews>
  <sheetFormatPr defaultRowHeight="14.4" x14ac:dyDescent="0.3"/>
  <cols>
    <col min="1" max="1" width="8.88671875" bestFit="1" customWidth="1"/>
    <col min="2" max="2" width="12" bestFit="1" customWidth="1"/>
    <col min="3" max="3" width="18.44140625" bestFit="1" customWidth="1"/>
    <col min="4" max="4" width="11.5546875" bestFit="1" customWidth="1"/>
    <col min="5" max="5" width="6" bestFit="1" customWidth="1"/>
    <col min="6" max="6" width="12.88671875" bestFit="1" customWidth="1"/>
    <col min="7" max="7" width="14.77734375" bestFit="1" customWidth="1"/>
    <col min="8" max="8" width="14.44140625" bestFit="1" customWidth="1"/>
    <col min="9" max="9" width="12.44140625" bestFit="1" customWidth="1"/>
    <col min="10" max="10" width="9" bestFit="1" customWidth="1"/>
    <col min="11" max="11" width="14.21875" bestFit="1" customWidth="1"/>
  </cols>
  <sheetData>
    <row r="1" spans="1:11" x14ac:dyDescent="0.3">
      <c r="A1" t="s">
        <v>0</v>
      </c>
      <c r="B1" t="s">
        <v>1</v>
      </c>
      <c r="C1" t="s">
        <v>67</v>
      </c>
      <c r="D1" t="s">
        <v>79</v>
      </c>
      <c r="E1" t="s">
        <v>76</v>
      </c>
      <c r="F1" t="s">
        <v>58</v>
      </c>
      <c r="G1" t="s">
        <v>84</v>
      </c>
      <c r="H1" t="s">
        <v>97</v>
      </c>
      <c r="I1" t="s">
        <v>19</v>
      </c>
      <c r="J1" t="s">
        <v>20</v>
      </c>
      <c r="K1" t="s">
        <v>66</v>
      </c>
    </row>
    <row r="2" spans="1:11" x14ac:dyDescent="0.3">
      <c r="A2" s="10"/>
      <c r="C2" s="11"/>
      <c r="D2" s="11"/>
      <c r="E2" s="11"/>
      <c r="F2" s="11"/>
      <c r="H2" s="11" t="s">
        <v>54</v>
      </c>
      <c r="I2" s="11" t="s">
        <v>71</v>
      </c>
      <c r="J2" s="11" t="s">
        <v>75</v>
      </c>
      <c r="K2" s="10">
        <v>45717</v>
      </c>
    </row>
    <row r="3" spans="1:11" x14ac:dyDescent="0.3">
      <c r="A3" s="10"/>
      <c r="C3" s="11"/>
      <c r="D3" s="11"/>
      <c r="E3" s="11"/>
      <c r="F3" s="11"/>
      <c r="H3" s="11" t="s">
        <v>15</v>
      </c>
      <c r="I3" s="11" t="s">
        <v>26</v>
      </c>
      <c r="J3" s="11" t="s">
        <v>74</v>
      </c>
      <c r="K3" s="10">
        <v>45383</v>
      </c>
    </row>
    <row r="4" spans="1:11" x14ac:dyDescent="0.3">
      <c r="A4" s="10"/>
      <c r="C4" s="11"/>
      <c r="D4" s="11"/>
      <c r="E4" s="11"/>
      <c r="F4" s="11"/>
      <c r="H4" s="11" t="s">
        <v>55</v>
      </c>
      <c r="I4" s="11" t="s">
        <v>59</v>
      </c>
      <c r="J4" s="11" t="s">
        <v>74</v>
      </c>
      <c r="K4" s="10">
        <v>44986</v>
      </c>
    </row>
    <row r="5" spans="1:11" x14ac:dyDescent="0.3">
      <c r="A5" s="10"/>
      <c r="C5" s="11"/>
      <c r="D5" s="11"/>
      <c r="E5" s="11"/>
      <c r="F5" s="11"/>
      <c r="H5" s="11" t="s">
        <v>31</v>
      </c>
      <c r="I5" s="11" t="s">
        <v>30</v>
      </c>
      <c r="J5" s="11" t="s">
        <v>75</v>
      </c>
      <c r="K5" s="10">
        <v>45566</v>
      </c>
    </row>
    <row r="6" spans="1:11" x14ac:dyDescent="0.3">
      <c r="A6" s="10"/>
      <c r="C6" s="11"/>
      <c r="D6" s="11"/>
      <c r="E6" s="11"/>
      <c r="F6" s="11"/>
      <c r="H6" s="11" t="s">
        <v>39</v>
      </c>
      <c r="I6" s="11" t="s">
        <v>38</v>
      </c>
      <c r="J6" s="11" t="s">
        <v>74</v>
      </c>
      <c r="K6" s="10">
        <v>45505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A149-1B6E-4CD4-A18F-F1757DB451E1}">
  <dimension ref="B2:H521"/>
  <sheetViews>
    <sheetView topLeftCell="A2" workbookViewId="0">
      <selection activeCell="B2" sqref="B2:H521"/>
    </sheetView>
  </sheetViews>
  <sheetFormatPr defaultRowHeight="14.4" x14ac:dyDescent="0.3"/>
  <cols>
    <col min="1" max="1" width="2" customWidth="1"/>
    <col min="2" max="2" width="10.109375" bestFit="1" customWidth="1"/>
    <col min="3" max="3" width="13.5546875" customWidth="1"/>
    <col min="4" max="4" width="18" customWidth="1"/>
    <col min="5" max="5" width="23.21875" customWidth="1"/>
    <col min="6" max="6" width="16.5546875" customWidth="1"/>
    <col min="7" max="7" width="12.5546875" customWidth="1"/>
    <col min="8" max="8" width="23.44140625" style="2" bestFit="1" customWidth="1"/>
  </cols>
  <sheetData>
    <row r="2" spans="2:8" x14ac:dyDescent="0.3">
      <c r="B2" s="8" t="s">
        <v>0</v>
      </c>
      <c r="C2" s="8" t="s">
        <v>1</v>
      </c>
      <c r="D2" s="8" t="s">
        <v>67</v>
      </c>
      <c r="E2" s="8" t="s">
        <v>79</v>
      </c>
      <c r="F2" s="8" t="s">
        <v>76</v>
      </c>
      <c r="G2" s="8" t="s">
        <v>58</v>
      </c>
      <c r="H2" s="9" t="s">
        <v>84</v>
      </c>
    </row>
    <row r="3" spans="2:8" x14ac:dyDescent="0.3">
      <c r="B3" s="1">
        <v>45925</v>
      </c>
      <c r="C3">
        <v>20220003926</v>
      </c>
      <c r="D3" t="s">
        <v>85</v>
      </c>
      <c r="E3" t="s">
        <v>80</v>
      </c>
      <c r="F3" t="s">
        <v>77</v>
      </c>
      <c r="G3" t="s">
        <v>5</v>
      </c>
      <c r="H3" s="2">
        <v>100000</v>
      </c>
    </row>
    <row r="4" spans="2:8" x14ac:dyDescent="0.3">
      <c r="B4" s="1">
        <v>45925</v>
      </c>
      <c r="C4">
        <v>20220003929</v>
      </c>
      <c r="D4" t="s">
        <v>85</v>
      </c>
      <c r="E4" t="s">
        <v>80</v>
      </c>
      <c r="F4" t="s">
        <v>77</v>
      </c>
      <c r="G4" t="s">
        <v>8</v>
      </c>
      <c r="H4" s="2">
        <v>100000</v>
      </c>
    </row>
    <row r="5" spans="2:8" x14ac:dyDescent="0.3">
      <c r="B5" s="1">
        <v>45925</v>
      </c>
      <c r="C5">
        <v>20220003932</v>
      </c>
      <c r="D5" t="s">
        <v>85</v>
      </c>
      <c r="E5" t="s">
        <v>80</v>
      </c>
      <c r="F5" t="s">
        <v>77</v>
      </c>
      <c r="G5" t="s">
        <v>8</v>
      </c>
      <c r="H5" s="2">
        <v>1500000</v>
      </c>
    </row>
    <row r="6" spans="2:8" x14ac:dyDescent="0.3">
      <c r="B6" s="1">
        <v>45925</v>
      </c>
      <c r="C6">
        <v>20220003935</v>
      </c>
      <c r="D6" t="s">
        <v>85</v>
      </c>
      <c r="E6" t="s">
        <v>80</v>
      </c>
      <c r="F6" t="s">
        <v>77</v>
      </c>
      <c r="G6" t="s">
        <v>8</v>
      </c>
      <c r="H6" s="2">
        <v>1500000</v>
      </c>
    </row>
    <row r="7" spans="2:8" x14ac:dyDescent="0.3">
      <c r="B7" s="1">
        <v>45928</v>
      </c>
      <c r="C7">
        <v>20220003938</v>
      </c>
      <c r="D7" t="s">
        <v>85</v>
      </c>
      <c r="E7" t="s">
        <v>80</v>
      </c>
      <c r="F7" t="s">
        <v>77</v>
      </c>
      <c r="G7" t="s">
        <v>8</v>
      </c>
      <c r="H7" s="2">
        <v>500000</v>
      </c>
    </row>
    <row r="8" spans="2:8" x14ac:dyDescent="0.3">
      <c r="B8" s="1">
        <v>45928</v>
      </c>
      <c r="C8">
        <v>20220003941</v>
      </c>
      <c r="D8" t="s">
        <v>85</v>
      </c>
      <c r="E8" t="s">
        <v>80</v>
      </c>
      <c r="F8" t="s">
        <v>77</v>
      </c>
      <c r="G8" t="s">
        <v>50</v>
      </c>
      <c r="H8" s="2">
        <v>500000</v>
      </c>
    </row>
    <row r="9" spans="2:8" x14ac:dyDescent="0.3">
      <c r="B9" s="1">
        <v>45928</v>
      </c>
      <c r="C9">
        <v>20220003944</v>
      </c>
      <c r="D9" t="s">
        <v>85</v>
      </c>
      <c r="E9" t="s">
        <v>80</v>
      </c>
      <c r="F9" t="s">
        <v>77</v>
      </c>
      <c r="G9" t="s">
        <v>50</v>
      </c>
      <c r="H9" s="2">
        <v>1000000</v>
      </c>
    </row>
    <row r="10" spans="2:8" x14ac:dyDescent="0.3">
      <c r="B10" s="1">
        <v>45928</v>
      </c>
      <c r="C10">
        <v>20220003947</v>
      </c>
      <c r="D10" t="s">
        <v>85</v>
      </c>
      <c r="E10" t="s">
        <v>81</v>
      </c>
      <c r="F10" t="s">
        <v>77</v>
      </c>
      <c r="G10" t="s">
        <v>9</v>
      </c>
      <c r="H10" s="2">
        <v>100000</v>
      </c>
    </row>
    <row r="11" spans="2:8" x14ac:dyDescent="0.3">
      <c r="B11" s="1">
        <v>45929</v>
      </c>
      <c r="C11">
        <v>20220003950</v>
      </c>
      <c r="D11" t="s">
        <v>85</v>
      </c>
      <c r="E11" t="s">
        <v>81</v>
      </c>
      <c r="F11" t="s">
        <v>77</v>
      </c>
      <c r="G11" t="s">
        <v>10</v>
      </c>
      <c r="H11" s="2">
        <v>1000000</v>
      </c>
    </row>
    <row r="12" spans="2:8" x14ac:dyDescent="0.3">
      <c r="B12" s="1">
        <v>45930</v>
      </c>
      <c r="C12">
        <v>20220012561</v>
      </c>
      <c r="D12" t="s">
        <v>85</v>
      </c>
      <c r="E12" t="s">
        <v>80</v>
      </c>
      <c r="F12" t="s">
        <v>77</v>
      </c>
      <c r="G12" t="s">
        <v>54</v>
      </c>
      <c r="H12" s="2">
        <v>250000</v>
      </c>
    </row>
    <row r="13" spans="2:8" x14ac:dyDescent="0.3">
      <c r="B13" s="1">
        <v>45930</v>
      </c>
      <c r="C13">
        <v>20220012563</v>
      </c>
      <c r="D13" t="s">
        <v>85</v>
      </c>
      <c r="E13" t="s">
        <v>82</v>
      </c>
      <c r="F13" t="s">
        <v>77</v>
      </c>
      <c r="G13" t="s">
        <v>54</v>
      </c>
      <c r="H13" s="2">
        <v>1500000</v>
      </c>
    </row>
    <row r="14" spans="2:8" x14ac:dyDescent="0.3">
      <c r="B14" s="1">
        <v>45930</v>
      </c>
      <c r="C14">
        <v>20220012565</v>
      </c>
      <c r="D14" t="s">
        <v>85</v>
      </c>
      <c r="E14" t="s">
        <v>81</v>
      </c>
      <c r="F14" t="s">
        <v>77</v>
      </c>
      <c r="G14" t="s">
        <v>54</v>
      </c>
      <c r="H14" s="2">
        <v>450000</v>
      </c>
    </row>
    <row r="15" spans="2:8" x14ac:dyDescent="0.3">
      <c r="B15" s="1">
        <v>45930</v>
      </c>
      <c r="C15">
        <v>20220012566</v>
      </c>
      <c r="D15" t="s">
        <v>85</v>
      </c>
      <c r="E15" t="s">
        <v>81</v>
      </c>
      <c r="F15" t="s">
        <v>77</v>
      </c>
      <c r="G15" t="s">
        <v>56</v>
      </c>
      <c r="H15" s="2">
        <v>1000000</v>
      </c>
    </row>
    <row r="16" spans="2:8" x14ac:dyDescent="0.3">
      <c r="B16" s="1">
        <v>45931</v>
      </c>
      <c r="C16">
        <v>20220012572</v>
      </c>
      <c r="D16" t="s">
        <v>85</v>
      </c>
      <c r="E16" t="s">
        <v>81</v>
      </c>
      <c r="F16" t="s">
        <v>77</v>
      </c>
      <c r="G16" t="s">
        <v>10</v>
      </c>
      <c r="H16" s="2">
        <v>1450000</v>
      </c>
    </row>
    <row r="17" spans="2:8" x14ac:dyDescent="0.3">
      <c r="B17" s="1">
        <v>45931</v>
      </c>
      <c r="C17">
        <v>20220012573</v>
      </c>
      <c r="D17" t="s">
        <v>85</v>
      </c>
      <c r="E17" t="s">
        <v>81</v>
      </c>
      <c r="F17" t="s">
        <v>77</v>
      </c>
      <c r="G17" t="s">
        <v>10</v>
      </c>
      <c r="H17" s="2">
        <v>300000</v>
      </c>
    </row>
    <row r="18" spans="2:8" x14ac:dyDescent="0.3">
      <c r="B18" s="1">
        <v>45932</v>
      </c>
      <c r="C18">
        <v>20220012576</v>
      </c>
      <c r="D18" t="s">
        <v>85</v>
      </c>
      <c r="E18" t="s">
        <v>81</v>
      </c>
      <c r="F18" t="s">
        <v>77</v>
      </c>
      <c r="G18" t="s">
        <v>56</v>
      </c>
      <c r="H18" s="2">
        <v>1200000</v>
      </c>
    </row>
    <row r="19" spans="2:8" x14ac:dyDescent="0.3">
      <c r="B19" s="1">
        <v>45932</v>
      </c>
      <c r="C19">
        <v>20220012579</v>
      </c>
      <c r="D19" t="s">
        <v>85</v>
      </c>
      <c r="E19" t="s">
        <v>80</v>
      </c>
      <c r="F19" t="s">
        <v>77</v>
      </c>
      <c r="G19" t="s">
        <v>2</v>
      </c>
      <c r="H19" s="2">
        <v>300000</v>
      </c>
    </row>
    <row r="20" spans="2:8" x14ac:dyDescent="0.3">
      <c r="B20" s="1">
        <v>45932</v>
      </c>
      <c r="C20">
        <v>20220012582</v>
      </c>
      <c r="D20" t="s">
        <v>85</v>
      </c>
      <c r="E20" t="s">
        <v>80</v>
      </c>
      <c r="F20" t="s">
        <v>77</v>
      </c>
      <c r="G20" t="s">
        <v>8</v>
      </c>
      <c r="H20" s="2">
        <v>2000000</v>
      </c>
    </row>
    <row r="21" spans="2:8" x14ac:dyDescent="0.3">
      <c r="B21" s="1">
        <v>45932</v>
      </c>
      <c r="C21">
        <v>20220012585</v>
      </c>
      <c r="D21" t="s">
        <v>85</v>
      </c>
      <c r="E21" t="s">
        <v>81</v>
      </c>
      <c r="F21" t="s">
        <v>77</v>
      </c>
      <c r="G21" t="s">
        <v>17</v>
      </c>
      <c r="H21" s="2">
        <v>750000</v>
      </c>
    </row>
    <row r="22" spans="2:8" x14ac:dyDescent="0.3">
      <c r="B22" s="1">
        <v>45932</v>
      </c>
      <c r="C22">
        <v>20220012588</v>
      </c>
      <c r="D22" t="s">
        <v>85</v>
      </c>
      <c r="E22" t="s">
        <v>81</v>
      </c>
      <c r="F22" t="s">
        <v>77</v>
      </c>
      <c r="G22" t="s">
        <v>17</v>
      </c>
      <c r="H22" s="2">
        <v>300000</v>
      </c>
    </row>
    <row r="23" spans="2:8" x14ac:dyDescent="0.3">
      <c r="B23" s="1">
        <v>45932</v>
      </c>
      <c r="C23">
        <v>20220012591</v>
      </c>
      <c r="D23" t="s">
        <v>85</v>
      </c>
      <c r="E23" t="s">
        <v>81</v>
      </c>
      <c r="F23" t="s">
        <v>77</v>
      </c>
      <c r="G23" t="s">
        <v>52</v>
      </c>
      <c r="H23" s="2">
        <v>1500000</v>
      </c>
    </row>
    <row r="24" spans="2:8" x14ac:dyDescent="0.3">
      <c r="B24" s="1">
        <v>45932</v>
      </c>
      <c r="C24">
        <v>20220012594</v>
      </c>
      <c r="D24" t="s">
        <v>85</v>
      </c>
      <c r="E24" t="s">
        <v>81</v>
      </c>
      <c r="F24" t="s">
        <v>77</v>
      </c>
      <c r="G24" t="s">
        <v>16</v>
      </c>
      <c r="H24" s="2">
        <v>600000</v>
      </c>
    </row>
    <row r="25" spans="2:8" x14ac:dyDescent="0.3">
      <c r="B25" s="1">
        <v>45932</v>
      </c>
      <c r="C25">
        <v>20220012597</v>
      </c>
      <c r="D25" t="s">
        <v>85</v>
      </c>
      <c r="E25" t="s">
        <v>81</v>
      </c>
      <c r="F25" t="s">
        <v>77</v>
      </c>
      <c r="G25" t="s">
        <v>16</v>
      </c>
      <c r="H25" s="2">
        <v>600000</v>
      </c>
    </row>
    <row r="26" spans="2:8" x14ac:dyDescent="0.3">
      <c r="B26" s="1">
        <v>45932</v>
      </c>
      <c r="C26">
        <v>20220012600</v>
      </c>
      <c r="D26" t="s">
        <v>85</v>
      </c>
      <c r="E26" t="s">
        <v>80</v>
      </c>
      <c r="F26" t="s">
        <v>77</v>
      </c>
      <c r="G26" t="s">
        <v>41</v>
      </c>
      <c r="H26" s="2">
        <v>1000000</v>
      </c>
    </row>
    <row r="27" spans="2:8" x14ac:dyDescent="0.3">
      <c r="B27" s="1">
        <v>45932</v>
      </c>
      <c r="C27">
        <v>20220012603</v>
      </c>
      <c r="D27" t="s">
        <v>85</v>
      </c>
      <c r="E27" t="s">
        <v>80</v>
      </c>
      <c r="F27" t="s">
        <v>77</v>
      </c>
      <c r="G27" t="s">
        <v>5</v>
      </c>
      <c r="H27" s="2">
        <v>1100000</v>
      </c>
    </row>
    <row r="28" spans="2:8" x14ac:dyDescent="0.3">
      <c r="B28" s="1">
        <v>45932</v>
      </c>
      <c r="C28">
        <v>20220012606</v>
      </c>
      <c r="D28" t="s">
        <v>85</v>
      </c>
      <c r="E28" t="s">
        <v>80</v>
      </c>
      <c r="F28" t="s">
        <v>77</v>
      </c>
      <c r="G28" t="s">
        <v>8</v>
      </c>
      <c r="H28" s="2">
        <v>100000</v>
      </c>
    </row>
    <row r="29" spans="2:8" x14ac:dyDescent="0.3">
      <c r="B29" s="1">
        <v>45932</v>
      </c>
      <c r="C29">
        <v>20220012609</v>
      </c>
      <c r="D29" t="s">
        <v>85</v>
      </c>
      <c r="E29" t="s">
        <v>80</v>
      </c>
      <c r="F29" t="s">
        <v>77</v>
      </c>
      <c r="G29" t="s">
        <v>2</v>
      </c>
      <c r="H29" s="2">
        <v>100000</v>
      </c>
    </row>
    <row r="30" spans="2:8" x14ac:dyDescent="0.3">
      <c r="B30" s="1">
        <v>45932</v>
      </c>
      <c r="C30">
        <v>20220012612</v>
      </c>
      <c r="D30" t="s">
        <v>85</v>
      </c>
      <c r="E30" t="s">
        <v>80</v>
      </c>
      <c r="F30" t="s">
        <v>77</v>
      </c>
      <c r="G30" t="s">
        <v>2</v>
      </c>
      <c r="H30" s="2">
        <v>1000000</v>
      </c>
    </row>
    <row r="31" spans="2:8" x14ac:dyDescent="0.3">
      <c r="B31" s="1">
        <v>45932</v>
      </c>
      <c r="C31">
        <v>20220012615</v>
      </c>
      <c r="D31" t="s">
        <v>85</v>
      </c>
      <c r="E31" t="s">
        <v>81</v>
      </c>
      <c r="F31" t="s">
        <v>77</v>
      </c>
      <c r="G31" t="s">
        <v>2</v>
      </c>
      <c r="H31" s="2">
        <v>250000</v>
      </c>
    </row>
    <row r="32" spans="2:8" x14ac:dyDescent="0.3">
      <c r="B32" s="1">
        <v>45932</v>
      </c>
      <c r="C32">
        <v>20220012618</v>
      </c>
      <c r="D32" t="s">
        <v>85</v>
      </c>
      <c r="E32" t="s">
        <v>80</v>
      </c>
      <c r="F32" t="s">
        <v>77</v>
      </c>
      <c r="G32" t="s">
        <v>41</v>
      </c>
      <c r="H32" s="2">
        <v>300000</v>
      </c>
    </row>
    <row r="33" spans="2:8" x14ac:dyDescent="0.3">
      <c r="B33" s="1">
        <v>45932</v>
      </c>
      <c r="C33">
        <v>20220012621</v>
      </c>
      <c r="D33" t="s">
        <v>85</v>
      </c>
      <c r="E33" t="s">
        <v>80</v>
      </c>
      <c r="F33" t="s">
        <v>77</v>
      </c>
      <c r="G33" t="s">
        <v>5</v>
      </c>
      <c r="H33" s="2">
        <v>1000000</v>
      </c>
    </row>
    <row r="34" spans="2:8" x14ac:dyDescent="0.3">
      <c r="B34" s="1">
        <v>45932</v>
      </c>
      <c r="C34">
        <v>20220012624</v>
      </c>
      <c r="D34" t="s">
        <v>85</v>
      </c>
      <c r="E34" t="s">
        <v>80</v>
      </c>
      <c r="F34" t="s">
        <v>77</v>
      </c>
      <c r="G34" t="s">
        <v>5</v>
      </c>
      <c r="H34" s="2">
        <v>2000000</v>
      </c>
    </row>
    <row r="35" spans="2:8" x14ac:dyDescent="0.3">
      <c r="B35" s="1">
        <v>45932</v>
      </c>
      <c r="C35">
        <v>20220012627</v>
      </c>
      <c r="D35" t="s">
        <v>85</v>
      </c>
      <c r="E35" t="s">
        <v>80</v>
      </c>
      <c r="F35" t="s">
        <v>77</v>
      </c>
      <c r="G35" t="s">
        <v>17</v>
      </c>
      <c r="H35" s="2">
        <v>450000</v>
      </c>
    </row>
    <row r="36" spans="2:8" x14ac:dyDescent="0.3">
      <c r="B36" s="1">
        <v>45932</v>
      </c>
      <c r="C36">
        <v>20220012630</v>
      </c>
      <c r="D36" t="s">
        <v>85</v>
      </c>
      <c r="E36" t="s">
        <v>80</v>
      </c>
      <c r="F36" t="s">
        <v>77</v>
      </c>
      <c r="G36" t="s">
        <v>17</v>
      </c>
      <c r="H36" s="2">
        <v>450000</v>
      </c>
    </row>
    <row r="37" spans="2:8" x14ac:dyDescent="0.3">
      <c r="B37" s="1">
        <v>45932</v>
      </c>
      <c r="C37">
        <v>20220012633</v>
      </c>
      <c r="D37" t="s">
        <v>85</v>
      </c>
      <c r="E37" t="s">
        <v>80</v>
      </c>
      <c r="F37" t="s">
        <v>77</v>
      </c>
      <c r="G37" t="s">
        <v>17</v>
      </c>
      <c r="H37" s="2">
        <v>1450000</v>
      </c>
    </row>
    <row r="38" spans="2:8" x14ac:dyDescent="0.3">
      <c r="B38" s="1">
        <v>45932</v>
      </c>
      <c r="C38">
        <v>20220012636</v>
      </c>
      <c r="D38" t="s">
        <v>85</v>
      </c>
      <c r="E38" t="s">
        <v>80</v>
      </c>
      <c r="F38" t="s">
        <v>83</v>
      </c>
      <c r="G38" t="s">
        <v>16</v>
      </c>
      <c r="H38" s="2">
        <v>600000</v>
      </c>
    </row>
    <row r="39" spans="2:8" x14ac:dyDescent="0.3">
      <c r="B39" s="1">
        <v>45932</v>
      </c>
      <c r="C39">
        <v>20220012639</v>
      </c>
      <c r="D39" t="s">
        <v>85</v>
      </c>
      <c r="E39" t="s">
        <v>80</v>
      </c>
      <c r="F39" t="s">
        <v>83</v>
      </c>
      <c r="G39" t="s">
        <v>16</v>
      </c>
      <c r="H39" s="2">
        <v>600000</v>
      </c>
    </row>
    <row r="40" spans="2:8" x14ac:dyDescent="0.3">
      <c r="B40" s="1">
        <v>45932</v>
      </c>
      <c r="C40">
        <v>20220012642</v>
      </c>
      <c r="D40" t="s">
        <v>85</v>
      </c>
      <c r="E40" t="s">
        <v>80</v>
      </c>
      <c r="F40" t="s">
        <v>83</v>
      </c>
      <c r="G40" t="s">
        <v>16</v>
      </c>
      <c r="H40" s="2">
        <v>600000</v>
      </c>
    </row>
    <row r="41" spans="2:8" x14ac:dyDescent="0.3">
      <c r="B41" s="1">
        <v>45932</v>
      </c>
      <c r="C41">
        <v>20220012645</v>
      </c>
      <c r="D41" t="s">
        <v>85</v>
      </c>
      <c r="E41" t="s">
        <v>82</v>
      </c>
      <c r="F41" t="s">
        <v>77</v>
      </c>
      <c r="G41" t="s">
        <v>2</v>
      </c>
      <c r="H41" s="2">
        <v>1650000</v>
      </c>
    </row>
    <row r="42" spans="2:8" x14ac:dyDescent="0.3">
      <c r="B42" s="1">
        <v>45932</v>
      </c>
      <c r="C42">
        <v>20220012648</v>
      </c>
      <c r="D42" t="s">
        <v>85</v>
      </c>
      <c r="E42" t="s">
        <v>82</v>
      </c>
      <c r="F42" t="s">
        <v>77</v>
      </c>
      <c r="G42" t="s">
        <v>2</v>
      </c>
      <c r="H42" s="2">
        <v>450000</v>
      </c>
    </row>
    <row r="43" spans="2:8" x14ac:dyDescent="0.3">
      <c r="B43" s="1">
        <v>45932</v>
      </c>
      <c r="C43">
        <v>20220012651</v>
      </c>
      <c r="D43" t="s">
        <v>85</v>
      </c>
      <c r="E43" t="s">
        <v>82</v>
      </c>
      <c r="F43" t="s">
        <v>77</v>
      </c>
      <c r="G43" t="s">
        <v>2</v>
      </c>
      <c r="H43" s="2">
        <v>450000</v>
      </c>
    </row>
    <row r="44" spans="2:8" x14ac:dyDescent="0.3">
      <c r="B44" s="1">
        <v>45932</v>
      </c>
      <c r="C44">
        <v>20220012654</v>
      </c>
      <c r="D44" t="s">
        <v>85</v>
      </c>
      <c r="E44" t="s">
        <v>81</v>
      </c>
      <c r="F44" t="s">
        <v>77</v>
      </c>
      <c r="G44" t="s">
        <v>5</v>
      </c>
      <c r="H44" s="2">
        <v>1000000</v>
      </c>
    </row>
    <row r="45" spans="2:8" x14ac:dyDescent="0.3">
      <c r="B45" s="1">
        <v>45932</v>
      </c>
      <c r="C45">
        <v>20220012657</v>
      </c>
      <c r="D45" t="s">
        <v>85</v>
      </c>
      <c r="E45" t="s">
        <v>81</v>
      </c>
      <c r="F45" t="s">
        <v>77</v>
      </c>
      <c r="G45" t="s">
        <v>8</v>
      </c>
      <c r="H45" s="2">
        <v>100000</v>
      </c>
    </row>
    <row r="46" spans="2:8" x14ac:dyDescent="0.3">
      <c r="B46" s="1">
        <v>45932</v>
      </c>
      <c r="C46">
        <v>20220012660</v>
      </c>
      <c r="D46" t="s">
        <v>85</v>
      </c>
      <c r="E46" t="s">
        <v>81</v>
      </c>
      <c r="F46" t="s">
        <v>77</v>
      </c>
      <c r="G46" t="s">
        <v>8</v>
      </c>
      <c r="H46" s="2">
        <v>100000</v>
      </c>
    </row>
    <row r="47" spans="2:8" x14ac:dyDescent="0.3">
      <c r="B47" s="1">
        <v>45932</v>
      </c>
      <c r="C47">
        <v>20220012663</v>
      </c>
      <c r="D47" t="s">
        <v>85</v>
      </c>
      <c r="E47" t="s">
        <v>82</v>
      </c>
      <c r="F47" t="s">
        <v>77</v>
      </c>
      <c r="G47" t="s">
        <v>17</v>
      </c>
      <c r="H47" s="2">
        <v>1000000</v>
      </c>
    </row>
    <row r="48" spans="2:8" x14ac:dyDescent="0.3">
      <c r="B48" s="1">
        <v>45932</v>
      </c>
      <c r="C48">
        <v>20220012666</v>
      </c>
      <c r="D48" t="s">
        <v>85</v>
      </c>
      <c r="E48" t="s">
        <v>82</v>
      </c>
      <c r="F48" t="s">
        <v>77</v>
      </c>
      <c r="G48" t="s">
        <v>17</v>
      </c>
      <c r="H48" s="2">
        <v>1000000</v>
      </c>
    </row>
    <row r="49" spans="2:8" x14ac:dyDescent="0.3">
      <c r="B49" s="1">
        <v>45932</v>
      </c>
      <c r="C49">
        <v>20220012669</v>
      </c>
      <c r="D49" t="s">
        <v>85</v>
      </c>
      <c r="E49" t="s">
        <v>82</v>
      </c>
      <c r="F49" t="s">
        <v>77</v>
      </c>
      <c r="G49" t="s">
        <v>17</v>
      </c>
      <c r="H49" s="2">
        <v>1000000</v>
      </c>
    </row>
    <row r="50" spans="2:8" x14ac:dyDescent="0.3">
      <c r="B50" s="1">
        <v>45932</v>
      </c>
      <c r="C50">
        <v>20220012672</v>
      </c>
      <c r="D50" t="s">
        <v>85</v>
      </c>
      <c r="E50" t="s">
        <v>82</v>
      </c>
      <c r="F50" t="s">
        <v>77</v>
      </c>
      <c r="G50" t="s">
        <v>56</v>
      </c>
      <c r="H50" s="2">
        <v>250000</v>
      </c>
    </row>
    <row r="51" spans="2:8" x14ac:dyDescent="0.3">
      <c r="B51" s="1">
        <v>45932</v>
      </c>
      <c r="C51">
        <v>20220012675</v>
      </c>
      <c r="D51" t="s">
        <v>85</v>
      </c>
      <c r="E51" t="s">
        <v>82</v>
      </c>
      <c r="F51" t="s">
        <v>77</v>
      </c>
      <c r="G51" t="s">
        <v>2</v>
      </c>
      <c r="H51" s="2">
        <v>250000</v>
      </c>
    </row>
    <row r="52" spans="2:8" x14ac:dyDescent="0.3">
      <c r="B52" s="1">
        <v>45932</v>
      </c>
      <c r="C52">
        <v>20220012678</v>
      </c>
      <c r="D52" t="s">
        <v>85</v>
      </c>
      <c r="E52" t="s">
        <v>82</v>
      </c>
      <c r="F52" t="s">
        <v>77</v>
      </c>
      <c r="G52" t="s">
        <v>2</v>
      </c>
      <c r="H52" s="2">
        <v>250000</v>
      </c>
    </row>
    <row r="53" spans="2:8" x14ac:dyDescent="0.3">
      <c r="B53" s="1">
        <v>45932</v>
      </c>
      <c r="C53">
        <v>20220012681</v>
      </c>
      <c r="D53" t="s">
        <v>85</v>
      </c>
      <c r="E53" t="s">
        <v>82</v>
      </c>
      <c r="F53" t="s">
        <v>77</v>
      </c>
      <c r="G53" t="s">
        <v>2</v>
      </c>
      <c r="H53" s="2">
        <v>1000000</v>
      </c>
    </row>
    <row r="54" spans="2:8" x14ac:dyDescent="0.3">
      <c r="B54" s="1">
        <v>45932</v>
      </c>
      <c r="C54">
        <v>20220012684</v>
      </c>
      <c r="D54" t="s">
        <v>85</v>
      </c>
      <c r="E54" t="s">
        <v>82</v>
      </c>
      <c r="F54" t="s">
        <v>77</v>
      </c>
      <c r="G54" t="s">
        <v>2</v>
      </c>
      <c r="H54" s="2">
        <v>100000</v>
      </c>
    </row>
    <row r="55" spans="2:8" x14ac:dyDescent="0.3">
      <c r="B55" s="1">
        <v>45932</v>
      </c>
      <c r="C55">
        <v>20220012687</v>
      </c>
      <c r="D55" t="s">
        <v>85</v>
      </c>
      <c r="E55" t="s">
        <v>82</v>
      </c>
      <c r="F55" t="s">
        <v>77</v>
      </c>
      <c r="G55" t="s">
        <v>2</v>
      </c>
      <c r="H55" s="2">
        <v>100000</v>
      </c>
    </row>
    <row r="56" spans="2:8" x14ac:dyDescent="0.3">
      <c r="B56" s="1">
        <v>45932</v>
      </c>
      <c r="C56">
        <v>20220012690</v>
      </c>
      <c r="D56" t="s">
        <v>85</v>
      </c>
      <c r="E56" t="s">
        <v>82</v>
      </c>
      <c r="F56" t="s">
        <v>77</v>
      </c>
      <c r="G56" t="s">
        <v>9</v>
      </c>
      <c r="H56" s="2">
        <v>100000</v>
      </c>
    </row>
    <row r="57" spans="2:8" x14ac:dyDescent="0.3">
      <c r="B57" s="1">
        <v>45932</v>
      </c>
      <c r="C57">
        <v>20220012693</v>
      </c>
      <c r="D57" t="s">
        <v>85</v>
      </c>
      <c r="E57" t="s">
        <v>82</v>
      </c>
      <c r="F57" t="s">
        <v>77</v>
      </c>
      <c r="G57" t="s">
        <v>9</v>
      </c>
      <c r="H57" s="2">
        <v>100000</v>
      </c>
    </row>
    <row r="58" spans="2:8" x14ac:dyDescent="0.3">
      <c r="B58" s="1">
        <v>45932</v>
      </c>
      <c r="C58">
        <v>20220012696</v>
      </c>
      <c r="D58" t="s">
        <v>85</v>
      </c>
      <c r="E58" t="s">
        <v>82</v>
      </c>
      <c r="F58" t="s">
        <v>77</v>
      </c>
      <c r="G58" t="s">
        <v>9</v>
      </c>
      <c r="H58" s="2">
        <v>1000000</v>
      </c>
    </row>
    <row r="59" spans="2:8" x14ac:dyDescent="0.3">
      <c r="B59" s="1">
        <v>45932</v>
      </c>
      <c r="C59">
        <v>20220012699</v>
      </c>
      <c r="D59" t="s">
        <v>85</v>
      </c>
      <c r="E59" t="s">
        <v>82</v>
      </c>
      <c r="F59" t="s">
        <v>77</v>
      </c>
      <c r="G59" t="s">
        <v>50</v>
      </c>
      <c r="H59" s="2">
        <v>200000</v>
      </c>
    </row>
    <row r="60" spans="2:8" x14ac:dyDescent="0.3">
      <c r="B60" s="1">
        <v>45932</v>
      </c>
      <c r="C60">
        <v>20220012702</v>
      </c>
      <c r="D60" t="s">
        <v>85</v>
      </c>
      <c r="E60" t="s">
        <v>81</v>
      </c>
      <c r="F60" t="s">
        <v>77</v>
      </c>
      <c r="G60" t="s">
        <v>44</v>
      </c>
      <c r="H60" s="2">
        <v>750000</v>
      </c>
    </row>
    <row r="61" spans="2:8" x14ac:dyDescent="0.3">
      <c r="B61" s="1">
        <v>45933</v>
      </c>
      <c r="C61">
        <v>20220012705</v>
      </c>
      <c r="D61" t="s">
        <v>85</v>
      </c>
      <c r="E61" t="s">
        <v>81</v>
      </c>
      <c r="F61" t="s">
        <v>77</v>
      </c>
      <c r="G61" t="s">
        <v>41</v>
      </c>
      <c r="H61" s="2">
        <v>250000</v>
      </c>
    </row>
    <row r="62" spans="2:8" x14ac:dyDescent="0.3">
      <c r="B62" s="1">
        <v>45933</v>
      </c>
      <c r="C62">
        <v>20220012708</v>
      </c>
      <c r="D62" t="s">
        <v>85</v>
      </c>
      <c r="E62" t="s">
        <v>81</v>
      </c>
      <c r="F62" t="s">
        <v>77</v>
      </c>
      <c r="G62" t="s">
        <v>48</v>
      </c>
      <c r="H62" s="2">
        <v>250000</v>
      </c>
    </row>
    <row r="63" spans="2:8" x14ac:dyDescent="0.3">
      <c r="B63" s="1">
        <v>45933</v>
      </c>
      <c r="C63">
        <v>20220012711</v>
      </c>
      <c r="D63" t="s">
        <v>85</v>
      </c>
      <c r="E63" t="s">
        <v>81</v>
      </c>
      <c r="F63" t="s">
        <v>77</v>
      </c>
      <c r="G63" t="s">
        <v>7</v>
      </c>
      <c r="H63" s="2">
        <v>100000</v>
      </c>
    </row>
    <row r="64" spans="2:8" x14ac:dyDescent="0.3">
      <c r="B64" s="1">
        <v>45933</v>
      </c>
      <c r="C64">
        <v>20220012714</v>
      </c>
      <c r="D64" t="s">
        <v>85</v>
      </c>
      <c r="E64" t="s">
        <v>81</v>
      </c>
      <c r="F64" t="s">
        <v>77</v>
      </c>
      <c r="G64" t="s">
        <v>5</v>
      </c>
      <c r="H64" s="2">
        <v>1000000</v>
      </c>
    </row>
    <row r="65" spans="2:8" x14ac:dyDescent="0.3">
      <c r="B65" s="1">
        <v>45933</v>
      </c>
      <c r="C65">
        <v>20220012717</v>
      </c>
      <c r="D65" t="s">
        <v>85</v>
      </c>
      <c r="E65" t="s">
        <v>82</v>
      </c>
      <c r="F65" t="s">
        <v>77</v>
      </c>
      <c r="G65" t="s">
        <v>8</v>
      </c>
      <c r="H65" s="2">
        <v>600000</v>
      </c>
    </row>
    <row r="66" spans="2:8" x14ac:dyDescent="0.3">
      <c r="B66" s="1">
        <v>45933</v>
      </c>
      <c r="C66">
        <v>20220012720</v>
      </c>
      <c r="D66" t="s">
        <v>85</v>
      </c>
      <c r="E66" t="s">
        <v>82</v>
      </c>
      <c r="F66" t="s">
        <v>77</v>
      </c>
      <c r="G66" t="s">
        <v>8</v>
      </c>
      <c r="H66" s="2">
        <v>600000</v>
      </c>
    </row>
    <row r="67" spans="2:8" x14ac:dyDescent="0.3">
      <c r="B67" s="1">
        <v>45933</v>
      </c>
      <c r="C67">
        <v>20220012723</v>
      </c>
      <c r="D67" t="s">
        <v>85</v>
      </c>
      <c r="E67" t="s">
        <v>81</v>
      </c>
      <c r="F67" t="s">
        <v>77</v>
      </c>
      <c r="G67" t="s">
        <v>64</v>
      </c>
      <c r="H67" s="2">
        <v>1000000</v>
      </c>
    </row>
    <row r="68" spans="2:8" x14ac:dyDescent="0.3">
      <c r="B68" s="1">
        <v>45933</v>
      </c>
      <c r="C68">
        <v>20220012726</v>
      </c>
      <c r="D68" t="s">
        <v>85</v>
      </c>
      <c r="E68" t="s">
        <v>81</v>
      </c>
      <c r="F68" t="s">
        <v>77</v>
      </c>
      <c r="G68" t="s">
        <v>64</v>
      </c>
      <c r="H68" s="2">
        <v>300000</v>
      </c>
    </row>
    <row r="69" spans="2:8" x14ac:dyDescent="0.3">
      <c r="B69" s="1">
        <v>45933</v>
      </c>
      <c r="C69">
        <v>20220012729</v>
      </c>
      <c r="D69" t="s">
        <v>85</v>
      </c>
      <c r="E69" t="s">
        <v>82</v>
      </c>
      <c r="F69" t="s">
        <v>77</v>
      </c>
      <c r="G69" t="s">
        <v>8</v>
      </c>
      <c r="H69" s="2">
        <v>100000</v>
      </c>
    </row>
    <row r="70" spans="2:8" x14ac:dyDescent="0.3">
      <c r="B70" s="1">
        <v>45933</v>
      </c>
      <c r="C70">
        <v>20220012732</v>
      </c>
      <c r="D70" t="s">
        <v>85</v>
      </c>
      <c r="E70" t="s">
        <v>81</v>
      </c>
      <c r="F70" t="s">
        <v>77</v>
      </c>
      <c r="G70" t="s">
        <v>41</v>
      </c>
      <c r="H70" s="2">
        <v>2000000</v>
      </c>
    </row>
    <row r="71" spans="2:8" x14ac:dyDescent="0.3">
      <c r="B71" s="1">
        <v>45933</v>
      </c>
      <c r="C71">
        <v>20220012735</v>
      </c>
      <c r="D71" t="s">
        <v>85</v>
      </c>
      <c r="E71" t="s">
        <v>81</v>
      </c>
      <c r="F71" t="s">
        <v>77</v>
      </c>
      <c r="G71" t="s">
        <v>9</v>
      </c>
      <c r="H71" s="2">
        <v>100000</v>
      </c>
    </row>
    <row r="72" spans="2:8" x14ac:dyDescent="0.3">
      <c r="B72" s="1">
        <v>45933</v>
      </c>
      <c r="C72">
        <v>20220012738</v>
      </c>
      <c r="D72" t="s">
        <v>85</v>
      </c>
      <c r="E72" t="s">
        <v>81</v>
      </c>
      <c r="F72" t="s">
        <v>77</v>
      </c>
      <c r="G72" t="s">
        <v>10</v>
      </c>
      <c r="H72" s="2">
        <v>300000</v>
      </c>
    </row>
    <row r="73" spans="2:8" x14ac:dyDescent="0.3">
      <c r="B73" s="1">
        <v>45934</v>
      </c>
      <c r="C73">
        <v>20220012741</v>
      </c>
      <c r="D73" t="s">
        <v>85</v>
      </c>
      <c r="E73" t="s">
        <v>81</v>
      </c>
      <c r="F73" t="s">
        <v>77</v>
      </c>
      <c r="G73" t="s">
        <v>56</v>
      </c>
      <c r="H73" s="2">
        <v>1000000</v>
      </c>
    </row>
    <row r="74" spans="2:8" x14ac:dyDescent="0.3">
      <c r="B74" s="1">
        <v>45934</v>
      </c>
      <c r="C74">
        <v>20220012744</v>
      </c>
      <c r="D74" t="s">
        <v>85</v>
      </c>
      <c r="E74" t="s">
        <v>81</v>
      </c>
      <c r="F74" t="s">
        <v>77</v>
      </c>
      <c r="G74" t="s">
        <v>6</v>
      </c>
      <c r="H74" s="2">
        <v>100000</v>
      </c>
    </row>
    <row r="75" spans="2:8" x14ac:dyDescent="0.3">
      <c r="B75" s="1">
        <v>45934</v>
      </c>
      <c r="C75">
        <v>20220012747</v>
      </c>
      <c r="D75" t="s">
        <v>85</v>
      </c>
      <c r="E75" t="s">
        <v>82</v>
      </c>
      <c r="F75" t="s">
        <v>77</v>
      </c>
      <c r="G75" t="s">
        <v>7</v>
      </c>
      <c r="H75" s="2">
        <v>500000</v>
      </c>
    </row>
    <row r="76" spans="2:8" x14ac:dyDescent="0.3">
      <c r="B76" s="1">
        <v>45934</v>
      </c>
      <c r="C76">
        <v>20220012750</v>
      </c>
      <c r="D76" t="s">
        <v>85</v>
      </c>
      <c r="E76" t="s">
        <v>82</v>
      </c>
      <c r="F76" t="s">
        <v>77</v>
      </c>
      <c r="G76" t="s">
        <v>7</v>
      </c>
      <c r="H76" s="2">
        <v>100000</v>
      </c>
    </row>
    <row r="77" spans="2:8" x14ac:dyDescent="0.3">
      <c r="B77" s="1">
        <v>45934</v>
      </c>
      <c r="C77">
        <v>20220012753</v>
      </c>
      <c r="D77" t="s">
        <v>85</v>
      </c>
      <c r="E77" t="s">
        <v>81</v>
      </c>
      <c r="F77" t="s">
        <v>77</v>
      </c>
      <c r="G77" t="s">
        <v>7</v>
      </c>
      <c r="H77" s="2">
        <v>600000</v>
      </c>
    </row>
    <row r="78" spans="2:8" x14ac:dyDescent="0.3">
      <c r="B78" s="1">
        <v>45934</v>
      </c>
      <c r="C78">
        <v>20220012756</v>
      </c>
      <c r="D78" t="s">
        <v>85</v>
      </c>
      <c r="E78" t="s">
        <v>81</v>
      </c>
      <c r="F78" t="s">
        <v>77</v>
      </c>
      <c r="G78" t="s">
        <v>41</v>
      </c>
      <c r="H78" s="2">
        <v>600000</v>
      </c>
    </row>
    <row r="79" spans="2:8" x14ac:dyDescent="0.3">
      <c r="B79" s="1">
        <v>45934</v>
      </c>
      <c r="C79">
        <v>20220012759</v>
      </c>
      <c r="D79" t="s">
        <v>85</v>
      </c>
      <c r="E79" t="s">
        <v>81</v>
      </c>
      <c r="F79" t="s">
        <v>77</v>
      </c>
      <c r="G79" t="s">
        <v>6</v>
      </c>
      <c r="H79" s="2">
        <v>250000</v>
      </c>
    </row>
    <row r="80" spans="2:8" x14ac:dyDescent="0.3">
      <c r="B80" s="1">
        <v>45934</v>
      </c>
      <c r="C80">
        <v>20220012762</v>
      </c>
      <c r="D80" t="s">
        <v>85</v>
      </c>
      <c r="E80" t="s">
        <v>81</v>
      </c>
      <c r="F80" t="s">
        <v>77</v>
      </c>
      <c r="G80" t="s">
        <v>6</v>
      </c>
      <c r="H80" s="2">
        <v>250000</v>
      </c>
    </row>
    <row r="81" spans="2:8" x14ac:dyDescent="0.3">
      <c r="B81" s="1">
        <v>45934</v>
      </c>
      <c r="C81">
        <v>20220012765</v>
      </c>
      <c r="D81" t="s">
        <v>85</v>
      </c>
      <c r="E81" t="s">
        <v>82</v>
      </c>
      <c r="F81" t="s">
        <v>77</v>
      </c>
      <c r="G81" t="s">
        <v>44</v>
      </c>
      <c r="H81" s="2">
        <v>100000</v>
      </c>
    </row>
    <row r="82" spans="2:8" x14ac:dyDescent="0.3">
      <c r="B82" s="1">
        <v>45934</v>
      </c>
      <c r="C82">
        <v>20220012768</v>
      </c>
      <c r="D82" t="s">
        <v>85</v>
      </c>
      <c r="E82" t="s">
        <v>82</v>
      </c>
      <c r="F82" t="s">
        <v>77</v>
      </c>
      <c r="G82" t="s">
        <v>41</v>
      </c>
      <c r="H82" s="2">
        <v>1000000</v>
      </c>
    </row>
    <row r="83" spans="2:8" x14ac:dyDescent="0.3">
      <c r="B83" s="1">
        <v>45934</v>
      </c>
      <c r="C83">
        <v>20220012771</v>
      </c>
      <c r="D83" t="s">
        <v>85</v>
      </c>
      <c r="E83" t="s">
        <v>81</v>
      </c>
      <c r="F83" t="s">
        <v>77</v>
      </c>
      <c r="G83" t="s">
        <v>16</v>
      </c>
      <c r="H83" s="2">
        <v>350000</v>
      </c>
    </row>
    <row r="84" spans="2:8" x14ac:dyDescent="0.3">
      <c r="B84" s="1">
        <v>45934</v>
      </c>
      <c r="C84">
        <v>20220012774</v>
      </c>
      <c r="D84" t="s">
        <v>85</v>
      </c>
      <c r="E84" t="s">
        <v>81</v>
      </c>
      <c r="F84" t="s">
        <v>77</v>
      </c>
      <c r="G84" t="s">
        <v>64</v>
      </c>
      <c r="H84" s="2">
        <v>1350000</v>
      </c>
    </row>
    <row r="85" spans="2:8" x14ac:dyDescent="0.3">
      <c r="B85" s="1">
        <v>45934</v>
      </c>
      <c r="C85">
        <v>20220012777</v>
      </c>
      <c r="D85" t="s">
        <v>85</v>
      </c>
      <c r="E85" t="s">
        <v>80</v>
      </c>
      <c r="F85" t="s">
        <v>77</v>
      </c>
      <c r="G85" t="s">
        <v>6</v>
      </c>
      <c r="H85" s="2">
        <v>600000</v>
      </c>
    </row>
    <row r="86" spans="2:8" x14ac:dyDescent="0.3">
      <c r="B86" s="1">
        <v>45934</v>
      </c>
      <c r="C86">
        <v>20220012780</v>
      </c>
      <c r="D86" t="s">
        <v>85</v>
      </c>
      <c r="E86" t="s">
        <v>80</v>
      </c>
      <c r="F86" t="s">
        <v>77</v>
      </c>
      <c r="G86" t="s">
        <v>6</v>
      </c>
      <c r="H86" s="2">
        <v>600000</v>
      </c>
    </row>
    <row r="87" spans="2:8" x14ac:dyDescent="0.3">
      <c r="B87" s="1">
        <v>45934</v>
      </c>
      <c r="C87">
        <v>20220012783</v>
      </c>
      <c r="D87" t="s">
        <v>85</v>
      </c>
      <c r="E87" t="s">
        <v>82</v>
      </c>
      <c r="F87" t="s">
        <v>77</v>
      </c>
      <c r="G87" t="s">
        <v>8</v>
      </c>
      <c r="H87" s="2">
        <v>1000000</v>
      </c>
    </row>
    <row r="88" spans="2:8" x14ac:dyDescent="0.3">
      <c r="B88" s="1">
        <v>45934</v>
      </c>
      <c r="C88">
        <v>20220012786</v>
      </c>
      <c r="D88" t="s">
        <v>85</v>
      </c>
      <c r="E88" t="s">
        <v>82</v>
      </c>
      <c r="F88" t="s">
        <v>77</v>
      </c>
      <c r="G88" t="s">
        <v>8</v>
      </c>
      <c r="H88" s="2">
        <v>100000</v>
      </c>
    </row>
    <row r="89" spans="2:8" x14ac:dyDescent="0.3">
      <c r="B89" s="1">
        <v>45934</v>
      </c>
      <c r="C89">
        <v>20220012789</v>
      </c>
      <c r="D89" t="s">
        <v>85</v>
      </c>
      <c r="E89" t="s">
        <v>82</v>
      </c>
      <c r="F89" t="s">
        <v>77</v>
      </c>
      <c r="G89" t="s">
        <v>41</v>
      </c>
      <c r="H89" s="2">
        <v>100000</v>
      </c>
    </row>
    <row r="90" spans="2:8" x14ac:dyDescent="0.3">
      <c r="B90" s="1">
        <v>45934</v>
      </c>
      <c r="C90">
        <v>20220012792</v>
      </c>
      <c r="D90" t="s">
        <v>85</v>
      </c>
      <c r="E90" t="s">
        <v>82</v>
      </c>
      <c r="F90" t="s">
        <v>77</v>
      </c>
      <c r="G90" t="s">
        <v>44</v>
      </c>
      <c r="H90" s="2">
        <v>1000000</v>
      </c>
    </row>
    <row r="91" spans="2:8" x14ac:dyDescent="0.3">
      <c r="B91" s="1">
        <v>45934</v>
      </c>
      <c r="C91">
        <v>20220012795</v>
      </c>
      <c r="D91" t="s">
        <v>85</v>
      </c>
      <c r="E91" t="s">
        <v>82</v>
      </c>
      <c r="F91" t="s">
        <v>83</v>
      </c>
      <c r="G91" t="s">
        <v>6</v>
      </c>
      <c r="H91" s="2">
        <v>250000</v>
      </c>
    </row>
    <row r="92" spans="2:8" x14ac:dyDescent="0.3">
      <c r="B92" s="1">
        <v>45934</v>
      </c>
      <c r="C92">
        <v>20220012798</v>
      </c>
      <c r="D92" t="s">
        <v>85</v>
      </c>
      <c r="E92" t="s">
        <v>82</v>
      </c>
      <c r="F92" t="s">
        <v>83</v>
      </c>
      <c r="G92" t="s">
        <v>6</v>
      </c>
      <c r="H92" s="2">
        <v>250000</v>
      </c>
    </row>
    <row r="93" spans="2:8" x14ac:dyDescent="0.3">
      <c r="B93" s="1">
        <v>45934</v>
      </c>
      <c r="C93">
        <v>20220012801</v>
      </c>
      <c r="D93" t="s">
        <v>85</v>
      </c>
      <c r="E93" t="s">
        <v>82</v>
      </c>
      <c r="F93" t="s">
        <v>77</v>
      </c>
      <c r="G93" t="s">
        <v>41</v>
      </c>
      <c r="H93" s="2">
        <v>100000</v>
      </c>
    </row>
    <row r="94" spans="2:8" x14ac:dyDescent="0.3">
      <c r="B94" s="1">
        <v>45934</v>
      </c>
      <c r="C94">
        <v>20220012804</v>
      </c>
      <c r="D94" t="s">
        <v>85</v>
      </c>
      <c r="E94" t="s">
        <v>82</v>
      </c>
      <c r="F94" t="s">
        <v>77</v>
      </c>
      <c r="G94" t="s">
        <v>8</v>
      </c>
      <c r="H94" s="2">
        <v>500000</v>
      </c>
    </row>
    <row r="95" spans="2:8" x14ac:dyDescent="0.3">
      <c r="B95" s="1">
        <v>45934</v>
      </c>
      <c r="C95">
        <v>20220012807</v>
      </c>
      <c r="D95" t="s">
        <v>85</v>
      </c>
      <c r="E95" t="s">
        <v>80</v>
      </c>
      <c r="F95" t="s">
        <v>83</v>
      </c>
      <c r="G95" t="s">
        <v>6</v>
      </c>
      <c r="H95" s="2">
        <v>600000</v>
      </c>
    </row>
    <row r="96" spans="2:8" x14ac:dyDescent="0.3">
      <c r="B96" s="1">
        <v>45934</v>
      </c>
      <c r="C96">
        <v>20220012810</v>
      </c>
      <c r="D96" t="s">
        <v>85</v>
      </c>
      <c r="E96" t="s">
        <v>80</v>
      </c>
      <c r="F96" t="s">
        <v>83</v>
      </c>
      <c r="G96" t="s">
        <v>6</v>
      </c>
      <c r="H96" s="2">
        <v>600000</v>
      </c>
    </row>
    <row r="97" spans="2:8" x14ac:dyDescent="0.3">
      <c r="B97" s="1">
        <v>45934</v>
      </c>
      <c r="C97">
        <v>20220012813</v>
      </c>
      <c r="D97" t="s">
        <v>85</v>
      </c>
      <c r="E97" t="s">
        <v>81</v>
      </c>
      <c r="F97" t="s">
        <v>77</v>
      </c>
      <c r="G97" t="s">
        <v>13</v>
      </c>
      <c r="H97" s="2">
        <v>100000</v>
      </c>
    </row>
    <row r="98" spans="2:8" x14ac:dyDescent="0.3">
      <c r="B98" s="1">
        <v>45934</v>
      </c>
      <c r="C98">
        <v>20220012816</v>
      </c>
      <c r="D98" t="s">
        <v>85</v>
      </c>
      <c r="E98" t="s">
        <v>81</v>
      </c>
      <c r="F98" t="s">
        <v>77</v>
      </c>
      <c r="G98" t="s">
        <v>13</v>
      </c>
      <c r="H98" s="2">
        <v>1000000</v>
      </c>
    </row>
    <row r="99" spans="2:8" x14ac:dyDescent="0.3">
      <c r="B99" s="1">
        <v>45934</v>
      </c>
      <c r="C99">
        <v>20220012819</v>
      </c>
      <c r="D99" t="s">
        <v>85</v>
      </c>
      <c r="E99" t="s">
        <v>81</v>
      </c>
      <c r="F99" t="s">
        <v>77</v>
      </c>
      <c r="G99" t="s">
        <v>13</v>
      </c>
      <c r="H99" s="2">
        <v>1000000</v>
      </c>
    </row>
    <row r="100" spans="2:8" x14ac:dyDescent="0.3">
      <c r="B100" s="1">
        <v>45934</v>
      </c>
      <c r="C100">
        <v>20220012822</v>
      </c>
      <c r="D100" t="s">
        <v>85</v>
      </c>
      <c r="E100" t="s">
        <v>81</v>
      </c>
      <c r="F100" t="s">
        <v>77</v>
      </c>
      <c r="G100" t="s">
        <v>13</v>
      </c>
      <c r="H100" s="2">
        <v>1000000</v>
      </c>
    </row>
    <row r="101" spans="2:8" x14ac:dyDescent="0.3">
      <c r="B101" s="1">
        <v>45934</v>
      </c>
      <c r="C101">
        <v>20220012825</v>
      </c>
      <c r="D101" t="s">
        <v>85</v>
      </c>
      <c r="E101" t="s">
        <v>82</v>
      </c>
      <c r="F101" t="s">
        <v>77</v>
      </c>
      <c r="G101" t="s">
        <v>44</v>
      </c>
      <c r="H101" s="2">
        <v>1000000</v>
      </c>
    </row>
    <row r="102" spans="2:8" x14ac:dyDescent="0.3">
      <c r="B102" s="1">
        <v>45934</v>
      </c>
      <c r="C102">
        <v>20220012828</v>
      </c>
      <c r="D102" t="s">
        <v>85</v>
      </c>
      <c r="E102" t="s">
        <v>82</v>
      </c>
      <c r="F102" t="s">
        <v>83</v>
      </c>
      <c r="G102" t="s">
        <v>4</v>
      </c>
      <c r="H102" s="2">
        <v>100000</v>
      </c>
    </row>
    <row r="103" spans="2:8" x14ac:dyDescent="0.3">
      <c r="B103" s="1">
        <v>45934</v>
      </c>
      <c r="C103">
        <v>20220012831</v>
      </c>
      <c r="D103" t="s">
        <v>85</v>
      </c>
      <c r="E103" t="s">
        <v>82</v>
      </c>
      <c r="F103" t="s">
        <v>77</v>
      </c>
      <c r="G103" t="s">
        <v>29</v>
      </c>
      <c r="H103" s="2">
        <v>250000</v>
      </c>
    </row>
    <row r="104" spans="2:8" x14ac:dyDescent="0.3">
      <c r="B104" s="1">
        <v>45934</v>
      </c>
      <c r="C104">
        <v>20220012834</v>
      </c>
      <c r="D104" t="s">
        <v>85</v>
      </c>
      <c r="E104" t="s">
        <v>82</v>
      </c>
      <c r="F104" t="s">
        <v>77</v>
      </c>
      <c r="G104" t="s">
        <v>29</v>
      </c>
      <c r="H104" s="2">
        <v>250000</v>
      </c>
    </row>
    <row r="105" spans="2:8" x14ac:dyDescent="0.3">
      <c r="B105" s="1">
        <v>45934</v>
      </c>
      <c r="C105">
        <v>20220012837</v>
      </c>
      <c r="D105" t="s">
        <v>85</v>
      </c>
      <c r="E105" t="s">
        <v>81</v>
      </c>
      <c r="F105" t="s">
        <v>77</v>
      </c>
      <c r="G105" t="s">
        <v>60</v>
      </c>
      <c r="H105" s="2">
        <v>1000000</v>
      </c>
    </row>
    <row r="106" spans="2:8" x14ac:dyDescent="0.3">
      <c r="B106" s="1">
        <v>45934</v>
      </c>
      <c r="C106">
        <v>20220012840</v>
      </c>
      <c r="D106" t="s">
        <v>85</v>
      </c>
      <c r="E106" t="s">
        <v>81</v>
      </c>
      <c r="F106" t="s">
        <v>77</v>
      </c>
      <c r="G106" t="s">
        <v>60</v>
      </c>
      <c r="H106" s="2">
        <v>100000</v>
      </c>
    </row>
    <row r="107" spans="2:8" x14ac:dyDescent="0.3">
      <c r="B107" s="1">
        <v>45934</v>
      </c>
      <c r="C107">
        <v>20220012843</v>
      </c>
      <c r="D107" t="s">
        <v>85</v>
      </c>
      <c r="E107" t="s">
        <v>80</v>
      </c>
      <c r="F107" t="s">
        <v>77</v>
      </c>
      <c r="G107" t="s">
        <v>6</v>
      </c>
      <c r="H107" s="2">
        <v>1250000</v>
      </c>
    </row>
    <row r="108" spans="2:8" x14ac:dyDescent="0.3">
      <c r="B108" s="1">
        <v>45934</v>
      </c>
      <c r="C108">
        <v>20220012846</v>
      </c>
      <c r="D108" t="s">
        <v>85</v>
      </c>
      <c r="E108" t="s">
        <v>80</v>
      </c>
      <c r="F108" t="s">
        <v>77</v>
      </c>
      <c r="G108" t="s">
        <v>6</v>
      </c>
      <c r="H108" s="2">
        <v>250000</v>
      </c>
    </row>
    <row r="109" spans="2:8" x14ac:dyDescent="0.3">
      <c r="B109" s="1">
        <v>45934</v>
      </c>
      <c r="C109">
        <v>20220012849</v>
      </c>
      <c r="D109" t="s">
        <v>85</v>
      </c>
      <c r="E109" t="s">
        <v>82</v>
      </c>
      <c r="F109" t="s">
        <v>77</v>
      </c>
      <c r="G109" t="s">
        <v>16</v>
      </c>
      <c r="H109" s="2">
        <v>600000</v>
      </c>
    </row>
    <row r="110" spans="2:8" x14ac:dyDescent="0.3">
      <c r="B110" s="1">
        <v>45934</v>
      </c>
      <c r="C110">
        <v>20220012852</v>
      </c>
      <c r="D110" t="s">
        <v>85</v>
      </c>
      <c r="E110" t="s">
        <v>82</v>
      </c>
      <c r="F110" t="s">
        <v>77</v>
      </c>
      <c r="G110" t="s">
        <v>13</v>
      </c>
      <c r="H110" s="2">
        <v>600000</v>
      </c>
    </row>
    <row r="111" spans="2:8" x14ac:dyDescent="0.3">
      <c r="B111" s="1">
        <v>45934</v>
      </c>
      <c r="C111">
        <v>20220012855</v>
      </c>
      <c r="D111" t="s">
        <v>85</v>
      </c>
      <c r="E111" t="s">
        <v>81</v>
      </c>
      <c r="F111" t="s">
        <v>77</v>
      </c>
      <c r="G111" t="s">
        <v>13</v>
      </c>
      <c r="H111" s="2">
        <v>1000000</v>
      </c>
    </row>
    <row r="112" spans="2:8" x14ac:dyDescent="0.3">
      <c r="B112" s="1">
        <v>45934</v>
      </c>
      <c r="C112">
        <v>20220012858</v>
      </c>
      <c r="D112" t="s">
        <v>85</v>
      </c>
      <c r="E112" t="s">
        <v>81</v>
      </c>
      <c r="F112" t="s">
        <v>77</v>
      </c>
      <c r="G112" t="s">
        <v>13</v>
      </c>
      <c r="H112" s="2">
        <v>100000</v>
      </c>
    </row>
    <row r="113" spans="2:8" x14ac:dyDescent="0.3">
      <c r="B113" s="1">
        <v>45934</v>
      </c>
      <c r="C113">
        <v>20220012861</v>
      </c>
      <c r="D113" t="s">
        <v>85</v>
      </c>
      <c r="E113" t="s">
        <v>81</v>
      </c>
      <c r="F113" t="s">
        <v>77</v>
      </c>
      <c r="G113" t="s">
        <v>4</v>
      </c>
      <c r="H113" s="2">
        <v>100000</v>
      </c>
    </row>
    <row r="114" spans="2:8" x14ac:dyDescent="0.3">
      <c r="B114" s="1">
        <v>45934</v>
      </c>
      <c r="C114">
        <v>20220012864</v>
      </c>
      <c r="D114" t="s">
        <v>85</v>
      </c>
      <c r="E114" t="s">
        <v>81</v>
      </c>
      <c r="F114" t="s">
        <v>77</v>
      </c>
      <c r="G114" t="s">
        <v>4</v>
      </c>
      <c r="H114" s="2">
        <v>100000</v>
      </c>
    </row>
    <row r="115" spans="2:8" x14ac:dyDescent="0.3">
      <c r="B115" s="1">
        <v>45934</v>
      </c>
      <c r="C115">
        <v>20220012867</v>
      </c>
      <c r="D115" t="s">
        <v>85</v>
      </c>
      <c r="E115" t="s">
        <v>81</v>
      </c>
      <c r="F115" t="s">
        <v>83</v>
      </c>
      <c r="G115" t="s">
        <v>18</v>
      </c>
      <c r="H115" s="2">
        <v>1250000</v>
      </c>
    </row>
    <row r="116" spans="2:8" x14ac:dyDescent="0.3">
      <c r="B116" s="1">
        <v>45934</v>
      </c>
      <c r="C116">
        <v>20220012870</v>
      </c>
      <c r="D116" t="s">
        <v>85</v>
      </c>
      <c r="E116" t="s">
        <v>81</v>
      </c>
      <c r="F116" t="s">
        <v>83</v>
      </c>
      <c r="G116" t="s">
        <v>18</v>
      </c>
      <c r="H116" s="2">
        <v>250000</v>
      </c>
    </row>
    <row r="117" spans="2:8" x14ac:dyDescent="0.3">
      <c r="B117" s="1">
        <v>45934</v>
      </c>
      <c r="C117">
        <v>20220012873</v>
      </c>
      <c r="D117" t="s">
        <v>85</v>
      </c>
      <c r="E117" t="s">
        <v>81</v>
      </c>
      <c r="F117" t="s">
        <v>77</v>
      </c>
      <c r="G117" t="s">
        <v>4</v>
      </c>
      <c r="H117" s="2">
        <v>1000000</v>
      </c>
    </row>
    <row r="118" spans="2:8" x14ac:dyDescent="0.3">
      <c r="B118" s="1">
        <v>45934</v>
      </c>
      <c r="C118">
        <v>20220012876</v>
      </c>
      <c r="D118" t="s">
        <v>85</v>
      </c>
      <c r="E118" t="s">
        <v>81</v>
      </c>
      <c r="F118" t="s">
        <v>77</v>
      </c>
      <c r="G118" t="s">
        <v>4</v>
      </c>
      <c r="H118" s="2">
        <v>100000</v>
      </c>
    </row>
    <row r="119" spans="2:8" x14ac:dyDescent="0.3">
      <c r="B119" s="1">
        <v>45934</v>
      </c>
      <c r="C119">
        <v>20220012879</v>
      </c>
      <c r="D119" t="s">
        <v>85</v>
      </c>
      <c r="E119" t="s">
        <v>82</v>
      </c>
      <c r="F119" t="s">
        <v>77</v>
      </c>
      <c r="G119" t="s">
        <v>4</v>
      </c>
      <c r="H119" s="2">
        <v>100000</v>
      </c>
    </row>
    <row r="120" spans="2:8" x14ac:dyDescent="0.3">
      <c r="B120" s="1">
        <v>45934</v>
      </c>
      <c r="C120">
        <v>20220012882</v>
      </c>
      <c r="D120" t="s">
        <v>85</v>
      </c>
      <c r="E120" t="s">
        <v>82</v>
      </c>
      <c r="F120" t="s">
        <v>77</v>
      </c>
      <c r="G120" t="s">
        <v>4</v>
      </c>
      <c r="H120" s="2">
        <v>100000</v>
      </c>
    </row>
    <row r="121" spans="2:8" x14ac:dyDescent="0.3">
      <c r="B121" s="1">
        <v>45934</v>
      </c>
      <c r="C121">
        <v>20220012885</v>
      </c>
      <c r="D121" t="s">
        <v>85</v>
      </c>
      <c r="E121" t="s">
        <v>80</v>
      </c>
      <c r="F121" t="s">
        <v>77</v>
      </c>
      <c r="G121" t="s">
        <v>18</v>
      </c>
      <c r="H121" s="2">
        <v>250000</v>
      </c>
    </row>
    <row r="122" spans="2:8" x14ac:dyDescent="0.3">
      <c r="B122" s="1">
        <v>45934</v>
      </c>
      <c r="C122">
        <v>20220012888</v>
      </c>
      <c r="D122" t="s">
        <v>85</v>
      </c>
      <c r="E122" t="s">
        <v>80</v>
      </c>
      <c r="F122" t="s">
        <v>77</v>
      </c>
      <c r="G122" t="s">
        <v>18</v>
      </c>
      <c r="H122" s="2">
        <v>250000</v>
      </c>
    </row>
    <row r="123" spans="2:8" x14ac:dyDescent="0.3">
      <c r="B123" s="1">
        <v>45934</v>
      </c>
      <c r="C123">
        <v>20220012891</v>
      </c>
      <c r="D123" t="s">
        <v>85</v>
      </c>
      <c r="E123" t="s">
        <v>82</v>
      </c>
      <c r="F123" t="s">
        <v>77</v>
      </c>
      <c r="G123" t="s">
        <v>6</v>
      </c>
      <c r="H123" s="2">
        <v>1500000</v>
      </c>
    </row>
    <row r="124" spans="2:8" x14ac:dyDescent="0.3">
      <c r="B124" s="1">
        <v>45934</v>
      </c>
      <c r="C124">
        <v>20220012894</v>
      </c>
      <c r="D124" t="s">
        <v>85</v>
      </c>
      <c r="E124" t="s">
        <v>82</v>
      </c>
      <c r="F124" t="s">
        <v>77</v>
      </c>
      <c r="G124" t="s">
        <v>6</v>
      </c>
      <c r="H124" s="2">
        <v>100000</v>
      </c>
    </row>
    <row r="125" spans="2:8" x14ac:dyDescent="0.3">
      <c r="B125" s="1">
        <v>45934</v>
      </c>
      <c r="C125">
        <v>20220012897</v>
      </c>
      <c r="D125" t="s">
        <v>85</v>
      </c>
      <c r="E125" t="s">
        <v>80</v>
      </c>
      <c r="F125" t="s">
        <v>83</v>
      </c>
      <c r="G125" t="s">
        <v>44</v>
      </c>
      <c r="H125" s="2">
        <v>1000000</v>
      </c>
    </row>
    <row r="126" spans="2:8" x14ac:dyDescent="0.3">
      <c r="B126" s="1">
        <v>45934</v>
      </c>
      <c r="C126">
        <v>20220012900</v>
      </c>
      <c r="D126" t="s">
        <v>85</v>
      </c>
      <c r="E126" t="s">
        <v>80</v>
      </c>
      <c r="F126" t="s">
        <v>83</v>
      </c>
      <c r="G126" t="s">
        <v>9</v>
      </c>
      <c r="H126" s="2">
        <v>1000000</v>
      </c>
    </row>
    <row r="127" spans="2:8" x14ac:dyDescent="0.3">
      <c r="B127" s="1">
        <v>45934</v>
      </c>
      <c r="C127">
        <v>20220012903</v>
      </c>
      <c r="D127" t="s">
        <v>85</v>
      </c>
      <c r="E127" t="s">
        <v>82</v>
      </c>
      <c r="F127" t="s">
        <v>83</v>
      </c>
      <c r="G127" t="s">
        <v>9</v>
      </c>
      <c r="H127" s="2">
        <v>100000</v>
      </c>
    </row>
    <row r="128" spans="2:8" x14ac:dyDescent="0.3">
      <c r="B128" s="1">
        <v>45934</v>
      </c>
      <c r="C128">
        <v>20220012906</v>
      </c>
      <c r="D128" t="s">
        <v>85</v>
      </c>
      <c r="E128" t="s">
        <v>82</v>
      </c>
      <c r="F128" t="s">
        <v>83</v>
      </c>
      <c r="G128" t="s">
        <v>8</v>
      </c>
      <c r="H128" s="2">
        <v>100000</v>
      </c>
    </row>
    <row r="129" spans="2:8" x14ac:dyDescent="0.3">
      <c r="B129" s="1">
        <v>45934</v>
      </c>
      <c r="C129">
        <v>20220012909</v>
      </c>
      <c r="D129" t="s">
        <v>85</v>
      </c>
      <c r="E129" t="s">
        <v>82</v>
      </c>
      <c r="F129" t="s">
        <v>77</v>
      </c>
      <c r="G129" t="s">
        <v>64</v>
      </c>
      <c r="H129" s="2">
        <v>100000</v>
      </c>
    </row>
    <row r="130" spans="2:8" x14ac:dyDescent="0.3">
      <c r="B130" s="1">
        <v>45934</v>
      </c>
      <c r="C130">
        <v>20220012912</v>
      </c>
      <c r="D130" t="s">
        <v>85</v>
      </c>
      <c r="E130" t="s">
        <v>82</v>
      </c>
      <c r="F130" t="s">
        <v>77</v>
      </c>
      <c r="G130" t="s">
        <v>64</v>
      </c>
      <c r="H130" s="2">
        <v>1000000</v>
      </c>
    </row>
    <row r="131" spans="2:8" x14ac:dyDescent="0.3">
      <c r="B131" s="1">
        <v>45934</v>
      </c>
      <c r="C131">
        <v>20220012915</v>
      </c>
      <c r="D131" t="s">
        <v>85</v>
      </c>
      <c r="E131" t="s">
        <v>80</v>
      </c>
      <c r="F131" t="s">
        <v>83</v>
      </c>
      <c r="G131" t="s">
        <v>64</v>
      </c>
      <c r="H131" s="2">
        <v>100000</v>
      </c>
    </row>
    <row r="132" spans="2:8" x14ac:dyDescent="0.3">
      <c r="B132" s="1">
        <v>45934</v>
      </c>
      <c r="C132">
        <v>20220012918</v>
      </c>
      <c r="D132" t="s">
        <v>85</v>
      </c>
      <c r="E132" t="s">
        <v>80</v>
      </c>
      <c r="F132" t="s">
        <v>83</v>
      </c>
      <c r="G132" t="s">
        <v>64</v>
      </c>
      <c r="H132" s="2">
        <v>100000</v>
      </c>
    </row>
    <row r="133" spans="2:8" x14ac:dyDescent="0.3">
      <c r="B133" s="1">
        <v>45934</v>
      </c>
      <c r="C133">
        <v>20220012921</v>
      </c>
      <c r="D133" t="s">
        <v>85</v>
      </c>
      <c r="E133" t="s">
        <v>81</v>
      </c>
      <c r="F133" t="s">
        <v>77</v>
      </c>
      <c r="G133" t="s">
        <v>64</v>
      </c>
      <c r="H133" s="2">
        <v>1000000</v>
      </c>
    </row>
    <row r="134" spans="2:8" x14ac:dyDescent="0.3">
      <c r="B134" s="1">
        <v>45934</v>
      </c>
      <c r="C134">
        <v>20220012924</v>
      </c>
      <c r="D134" t="s">
        <v>85</v>
      </c>
      <c r="E134" t="s">
        <v>81</v>
      </c>
      <c r="F134" t="s">
        <v>77</v>
      </c>
      <c r="G134" t="s">
        <v>64</v>
      </c>
      <c r="H134" s="2">
        <v>1000000</v>
      </c>
    </row>
    <row r="135" spans="2:8" x14ac:dyDescent="0.3">
      <c r="B135" s="1">
        <v>45934</v>
      </c>
      <c r="C135">
        <v>20220012927</v>
      </c>
      <c r="D135" t="s">
        <v>85</v>
      </c>
      <c r="E135" t="s">
        <v>81</v>
      </c>
      <c r="F135" t="s">
        <v>77</v>
      </c>
      <c r="G135" t="s">
        <v>64</v>
      </c>
      <c r="H135" s="2">
        <v>200000</v>
      </c>
    </row>
    <row r="136" spans="2:8" x14ac:dyDescent="0.3">
      <c r="B136" s="1">
        <v>45934</v>
      </c>
      <c r="C136">
        <v>20220012930</v>
      </c>
      <c r="D136" t="s">
        <v>85</v>
      </c>
      <c r="E136" t="s">
        <v>81</v>
      </c>
      <c r="F136" t="s">
        <v>77</v>
      </c>
      <c r="G136" t="s">
        <v>64</v>
      </c>
      <c r="H136" s="2">
        <v>1000000</v>
      </c>
    </row>
    <row r="137" spans="2:8" x14ac:dyDescent="0.3">
      <c r="B137" s="1">
        <v>45934</v>
      </c>
      <c r="C137">
        <v>20220012933</v>
      </c>
      <c r="D137" t="s">
        <v>85</v>
      </c>
      <c r="E137" t="s">
        <v>81</v>
      </c>
      <c r="F137" t="s">
        <v>77</v>
      </c>
      <c r="G137" t="s">
        <v>64</v>
      </c>
      <c r="H137" s="2">
        <v>100000</v>
      </c>
    </row>
    <row r="138" spans="2:8" x14ac:dyDescent="0.3">
      <c r="B138" s="1">
        <v>45934</v>
      </c>
      <c r="C138">
        <v>20220012936</v>
      </c>
      <c r="D138" t="s">
        <v>85</v>
      </c>
      <c r="E138" t="s">
        <v>82</v>
      </c>
      <c r="F138" t="s">
        <v>77</v>
      </c>
      <c r="G138" t="s">
        <v>62</v>
      </c>
      <c r="H138" s="2">
        <v>500000</v>
      </c>
    </row>
    <row r="139" spans="2:8" x14ac:dyDescent="0.3">
      <c r="B139" s="1">
        <v>45934</v>
      </c>
      <c r="C139">
        <v>20220012939</v>
      </c>
      <c r="D139" t="s">
        <v>85</v>
      </c>
      <c r="E139" t="s">
        <v>80</v>
      </c>
      <c r="F139" t="s">
        <v>83</v>
      </c>
      <c r="G139" t="s">
        <v>62</v>
      </c>
      <c r="H139" s="2">
        <v>300000</v>
      </c>
    </row>
    <row r="140" spans="2:8" x14ac:dyDescent="0.3">
      <c r="B140" s="1">
        <v>45934</v>
      </c>
      <c r="C140">
        <v>20220012942</v>
      </c>
      <c r="D140" t="s">
        <v>85</v>
      </c>
      <c r="E140" t="s">
        <v>82</v>
      </c>
      <c r="F140" t="s">
        <v>83</v>
      </c>
      <c r="G140" t="s">
        <v>62</v>
      </c>
      <c r="H140" s="2">
        <v>100000</v>
      </c>
    </row>
    <row r="141" spans="2:8" x14ac:dyDescent="0.3">
      <c r="B141" s="1">
        <v>45935</v>
      </c>
      <c r="C141">
        <v>20220012945</v>
      </c>
      <c r="D141" t="s">
        <v>85</v>
      </c>
      <c r="E141" t="s">
        <v>82</v>
      </c>
      <c r="F141" t="s">
        <v>77</v>
      </c>
      <c r="G141" t="s">
        <v>52</v>
      </c>
      <c r="H141" s="2">
        <v>100000</v>
      </c>
    </row>
    <row r="142" spans="2:8" x14ac:dyDescent="0.3">
      <c r="B142" s="1">
        <v>45935</v>
      </c>
      <c r="C142">
        <v>20220012948</v>
      </c>
      <c r="D142" t="s">
        <v>85</v>
      </c>
      <c r="E142" t="s">
        <v>81</v>
      </c>
      <c r="F142" t="s">
        <v>77</v>
      </c>
      <c r="G142" t="s">
        <v>56</v>
      </c>
      <c r="H142" s="2">
        <v>300000</v>
      </c>
    </row>
    <row r="143" spans="2:8" x14ac:dyDescent="0.3">
      <c r="B143" s="1">
        <v>45936</v>
      </c>
      <c r="C143">
        <v>20220012951</v>
      </c>
      <c r="D143" t="s">
        <v>85</v>
      </c>
      <c r="E143" t="s">
        <v>82</v>
      </c>
      <c r="F143" t="s">
        <v>77</v>
      </c>
      <c r="G143" t="s">
        <v>50</v>
      </c>
      <c r="H143" s="2">
        <v>1000000</v>
      </c>
    </row>
    <row r="144" spans="2:8" x14ac:dyDescent="0.3">
      <c r="B144" s="1">
        <v>45936</v>
      </c>
      <c r="C144">
        <v>20220012954</v>
      </c>
      <c r="D144" t="s">
        <v>85</v>
      </c>
      <c r="E144" t="s">
        <v>82</v>
      </c>
      <c r="F144" t="s">
        <v>77</v>
      </c>
      <c r="G144" t="s">
        <v>13</v>
      </c>
      <c r="H144" s="2">
        <v>100000</v>
      </c>
    </row>
    <row r="145" spans="2:8" x14ac:dyDescent="0.3">
      <c r="B145" s="1">
        <v>45936</v>
      </c>
      <c r="C145">
        <v>20220012957</v>
      </c>
      <c r="D145" t="s">
        <v>85</v>
      </c>
      <c r="E145" t="s">
        <v>80</v>
      </c>
      <c r="F145" t="s">
        <v>83</v>
      </c>
      <c r="G145" t="s">
        <v>3</v>
      </c>
      <c r="H145" s="2">
        <v>250000</v>
      </c>
    </row>
    <row r="146" spans="2:8" x14ac:dyDescent="0.3">
      <c r="B146" s="1">
        <v>45936</v>
      </c>
      <c r="C146">
        <v>20220012960</v>
      </c>
      <c r="D146" t="s">
        <v>85</v>
      </c>
      <c r="E146" t="s">
        <v>80</v>
      </c>
      <c r="F146" t="s">
        <v>77</v>
      </c>
      <c r="G146" t="s">
        <v>13</v>
      </c>
      <c r="H146" s="2">
        <v>100000</v>
      </c>
    </row>
    <row r="147" spans="2:8" x14ac:dyDescent="0.3">
      <c r="B147" s="1">
        <v>45936</v>
      </c>
      <c r="C147">
        <v>20220012963</v>
      </c>
      <c r="D147" t="s">
        <v>85</v>
      </c>
      <c r="E147" t="s">
        <v>82</v>
      </c>
      <c r="F147" t="s">
        <v>77</v>
      </c>
      <c r="G147" t="s">
        <v>3</v>
      </c>
      <c r="H147" s="2">
        <v>600000</v>
      </c>
    </row>
    <row r="148" spans="2:8" x14ac:dyDescent="0.3">
      <c r="B148" s="1">
        <v>45936</v>
      </c>
      <c r="C148">
        <v>20220012966</v>
      </c>
      <c r="D148" t="s">
        <v>85</v>
      </c>
      <c r="E148" t="s">
        <v>81</v>
      </c>
      <c r="F148" t="s">
        <v>77</v>
      </c>
      <c r="G148" t="s">
        <v>13</v>
      </c>
      <c r="H148" s="2">
        <v>600000</v>
      </c>
    </row>
    <row r="149" spans="2:8" x14ac:dyDescent="0.3">
      <c r="B149" s="1">
        <v>45936</v>
      </c>
      <c r="C149">
        <v>20220012969</v>
      </c>
      <c r="D149" t="s">
        <v>85</v>
      </c>
      <c r="E149" t="s">
        <v>81</v>
      </c>
      <c r="F149" t="s">
        <v>77</v>
      </c>
      <c r="G149" t="s">
        <v>3</v>
      </c>
      <c r="H149" s="2">
        <v>200000</v>
      </c>
    </row>
    <row r="150" spans="2:8" x14ac:dyDescent="0.3">
      <c r="B150" s="1">
        <v>45936</v>
      </c>
      <c r="C150">
        <v>20220012972</v>
      </c>
      <c r="D150" t="s">
        <v>85</v>
      </c>
      <c r="E150" t="s">
        <v>81</v>
      </c>
      <c r="F150" t="s">
        <v>77</v>
      </c>
      <c r="G150" t="s">
        <v>3</v>
      </c>
      <c r="H150" s="2">
        <v>1000000</v>
      </c>
    </row>
    <row r="151" spans="2:8" x14ac:dyDescent="0.3">
      <c r="B151" s="1">
        <v>45936</v>
      </c>
      <c r="C151">
        <v>20220012975</v>
      </c>
      <c r="D151" t="s">
        <v>85</v>
      </c>
      <c r="E151" t="s">
        <v>82</v>
      </c>
      <c r="F151" t="s">
        <v>77</v>
      </c>
      <c r="G151" t="s">
        <v>13</v>
      </c>
      <c r="H151" s="2">
        <v>100000</v>
      </c>
    </row>
    <row r="152" spans="2:8" x14ac:dyDescent="0.3">
      <c r="B152" s="1">
        <v>45936</v>
      </c>
      <c r="C152">
        <v>20220012978</v>
      </c>
      <c r="D152" t="s">
        <v>85</v>
      </c>
      <c r="E152" t="s">
        <v>80</v>
      </c>
      <c r="F152" t="s">
        <v>77</v>
      </c>
      <c r="G152" t="s">
        <v>3</v>
      </c>
      <c r="H152" s="2">
        <v>600000</v>
      </c>
    </row>
    <row r="153" spans="2:8" x14ac:dyDescent="0.3">
      <c r="B153" s="1">
        <v>45936</v>
      </c>
      <c r="C153">
        <v>20220012981</v>
      </c>
      <c r="D153" t="s">
        <v>85</v>
      </c>
      <c r="E153" t="s">
        <v>80</v>
      </c>
      <c r="F153" t="s">
        <v>77</v>
      </c>
      <c r="G153" t="s">
        <v>4</v>
      </c>
      <c r="H153" s="2">
        <v>100000</v>
      </c>
    </row>
    <row r="154" spans="2:8" x14ac:dyDescent="0.3">
      <c r="B154" s="1">
        <v>45936</v>
      </c>
      <c r="C154">
        <v>20220012984</v>
      </c>
      <c r="D154" t="s">
        <v>85</v>
      </c>
      <c r="E154" t="s">
        <v>82</v>
      </c>
      <c r="F154" t="s">
        <v>77</v>
      </c>
      <c r="G154" t="s">
        <v>14</v>
      </c>
      <c r="H154" s="2">
        <v>100000</v>
      </c>
    </row>
    <row r="155" spans="2:8" x14ac:dyDescent="0.3">
      <c r="B155" s="1">
        <v>45936</v>
      </c>
      <c r="C155">
        <v>20220012987</v>
      </c>
      <c r="D155" t="s">
        <v>85</v>
      </c>
      <c r="E155" t="s">
        <v>80</v>
      </c>
      <c r="F155" t="s">
        <v>83</v>
      </c>
      <c r="G155" t="s">
        <v>13</v>
      </c>
      <c r="H155" s="2">
        <v>100000</v>
      </c>
    </row>
    <row r="156" spans="2:8" x14ac:dyDescent="0.3">
      <c r="B156" s="1">
        <v>45936</v>
      </c>
      <c r="C156">
        <v>20220012990</v>
      </c>
      <c r="D156" t="s">
        <v>85</v>
      </c>
      <c r="E156" t="s">
        <v>82</v>
      </c>
      <c r="F156" t="s">
        <v>77</v>
      </c>
      <c r="G156" t="s">
        <v>3</v>
      </c>
      <c r="H156" s="2">
        <v>1000000</v>
      </c>
    </row>
    <row r="157" spans="2:8" x14ac:dyDescent="0.3">
      <c r="B157" s="1">
        <v>45936</v>
      </c>
      <c r="C157">
        <v>20220012993</v>
      </c>
      <c r="D157" t="s">
        <v>85</v>
      </c>
      <c r="E157" t="s">
        <v>82</v>
      </c>
      <c r="F157" t="s">
        <v>77</v>
      </c>
      <c r="G157" t="s">
        <v>2</v>
      </c>
      <c r="H157" s="2">
        <v>100000</v>
      </c>
    </row>
    <row r="158" spans="2:8" x14ac:dyDescent="0.3">
      <c r="B158" s="1">
        <v>45936</v>
      </c>
      <c r="C158">
        <v>20220012996</v>
      </c>
      <c r="D158" t="s">
        <v>85</v>
      </c>
      <c r="E158" t="s">
        <v>82</v>
      </c>
      <c r="F158" t="s">
        <v>77</v>
      </c>
      <c r="G158" t="s">
        <v>4</v>
      </c>
      <c r="H158" s="2">
        <v>1000000</v>
      </c>
    </row>
    <row r="159" spans="2:8" x14ac:dyDescent="0.3">
      <c r="B159" s="1">
        <v>45936</v>
      </c>
      <c r="C159">
        <v>20220012999</v>
      </c>
      <c r="D159" t="s">
        <v>85</v>
      </c>
      <c r="E159" t="s">
        <v>82</v>
      </c>
      <c r="F159" t="s">
        <v>77</v>
      </c>
      <c r="G159" t="s">
        <v>3</v>
      </c>
      <c r="H159" s="2">
        <v>100000</v>
      </c>
    </row>
    <row r="160" spans="2:8" x14ac:dyDescent="0.3">
      <c r="B160" s="1">
        <v>45936</v>
      </c>
      <c r="C160">
        <v>20220013002</v>
      </c>
      <c r="D160" t="s">
        <v>85</v>
      </c>
      <c r="E160" t="s">
        <v>80</v>
      </c>
      <c r="F160" t="s">
        <v>77</v>
      </c>
      <c r="G160" t="s">
        <v>2</v>
      </c>
      <c r="H160" s="2">
        <v>100000</v>
      </c>
    </row>
    <row r="161" spans="2:8" x14ac:dyDescent="0.3">
      <c r="B161" s="1">
        <v>45936</v>
      </c>
      <c r="C161">
        <v>20220013005</v>
      </c>
      <c r="D161" t="s">
        <v>85</v>
      </c>
      <c r="E161" t="s">
        <v>82</v>
      </c>
      <c r="F161" t="s">
        <v>77</v>
      </c>
      <c r="G161" t="s">
        <v>4</v>
      </c>
      <c r="H161" s="2">
        <v>100000</v>
      </c>
    </row>
    <row r="162" spans="2:8" x14ac:dyDescent="0.3">
      <c r="B162" s="1">
        <v>45936</v>
      </c>
      <c r="C162">
        <v>20220013008</v>
      </c>
      <c r="D162" t="s">
        <v>85</v>
      </c>
      <c r="E162" t="s">
        <v>81</v>
      </c>
      <c r="F162" t="s">
        <v>77</v>
      </c>
      <c r="G162" t="s">
        <v>3</v>
      </c>
      <c r="H162" s="2">
        <v>100000</v>
      </c>
    </row>
    <row r="163" spans="2:8" x14ac:dyDescent="0.3">
      <c r="B163" s="1">
        <v>45936</v>
      </c>
      <c r="C163">
        <v>20220013011</v>
      </c>
      <c r="D163" t="s">
        <v>85</v>
      </c>
      <c r="E163" t="s">
        <v>82</v>
      </c>
      <c r="F163" t="s">
        <v>77</v>
      </c>
      <c r="G163" t="s">
        <v>13</v>
      </c>
      <c r="H163" s="2">
        <v>100000</v>
      </c>
    </row>
    <row r="164" spans="2:8" x14ac:dyDescent="0.3">
      <c r="B164" s="1">
        <v>45936</v>
      </c>
      <c r="C164">
        <v>20220013014</v>
      </c>
      <c r="D164" t="s">
        <v>85</v>
      </c>
      <c r="E164" t="s">
        <v>81</v>
      </c>
      <c r="F164" t="s">
        <v>77</v>
      </c>
      <c r="G164" t="s">
        <v>3</v>
      </c>
      <c r="H164" s="2">
        <v>1000000</v>
      </c>
    </row>
    <row r="165" spans="2:8" x14ac:dyDescent="0.3">
      <c r="B165" s="1">
        <v>45936</v>
      </c>
      <c r="C165">
        <v>20220013017</v>
      </c>
      <c r="D165" t="s">
        <v>85</v>
      </c>
      <c r="E165" t="s">
        <v>82</v>
      </c>
      <c r="F165" t="s">
        <v>83</v>
      </c>
      <c r="G165" t="s">
        <v>64</v>
      </c>
      <c r="H165" s="2">
        <v>100000</v>
      </c>
    </row>
    <row r="166" spans="2:8" x14ac:dyDescent="0.3">
      <c r="B166" s="1">
        <v>45936</v>
      </c>
      <c r="C166">
        <v>20220013020</v>
      </c>
      <c r="D166" t="s">
        <v>85</v>
      </c>
      <c r="E166" t="s">
        <v>82</v>
      </c>
      <c r="F166" t="s">
        <v>77</v>
      </c>
      <c r="G166" t="s">
        <v>64</v>
      </c>
      <c r="H166" s="2">
        <v>100000</v>
      </c>
    </row>
    <row r="167" spans="2:8" x14ac:dyDescent="0.3">
      <c r="B167" s="1">
        <v>45936</v>
      </c>
      <c r="C167">
        <v>20220013023</v>
      </c>
      <c r="D167" t="s">
        <v>85</v>
      </c>
      <c r="E167" t="s">
        <v>81</v>
      </c>
      <c r="F167" t="s">
        <v>77</v>
      </c>
      <c r="G167" t="s">
        <v>64</v>
      </c>
      <c r="H167" s="2">
        <v>1000000</v>
      </c>
    </row>
    <row r="168" spans="2:8" x14ac:dyDescent="0.3">
      <c r="B168" s="1">
        <v>45936</v>
      </c>
      <c r="C168">
        <v>20220013026</v>
      </c>
      <c r="D168" t="s">
        <v>85</v>
      </c>
      <c r="E168" t="s">
        <v>81</v>
      </c>
      <c r="F168" t="s">
        <v>77</v>
      </c>
      <c r="G168" t="s">
        <v>64</v>
      </c>
      <c r="H168" s="2">
        <v>750000</v>
      </c>
    </row>
    <row r="169" spans="2:8" x14ac:dyDescent="0.3">
      <c r="B169" s="1">
        <v>45936</v>
      </c>
      <c r="C169">
        <v>20220013029</v>
      </c>
      <c r="D169" t="s">
        <v>85</v>
      </c>
      <c r="E169" t="s">
        <v>82</v>
      </c>
      <c r="F169" t="s">
        <v>77</v>
      </c>
      <c r="G169" t="s">
        <v>64</v>
      </c>
      <c r="H169" s="2">
        <v>100000</v>
      </c>
    </row>
    <row r="170" spans="2:8" x14ac:dyDescent="0.3">
      <c r="B170" s="1">
        <v>45936</v>
      </c>
      <c r="C170">
        <v>20220013032</v>
      </c>
      <c r="D170" t="s">
        <v>85</v>
      </c>
      <c r="E170" t="s">
        <v>80</v>
      </c>
      <c r="F170" t="s">
        <v>77</v>
      </c>
      <c r="G170" t="s">
        <v>62</v>
      </c>
      <c r="H170" s="2">
        <v>100000</v>
      </c>
    </row>
    <row r="171" spans="2:8" x14ac:dyDescent="0.3">
      <c r="B171" s="1">
        <v>45936</v>
      </c>
      <c r="C171">
        <v>20220013035</v>
      </c>
      <c r="D171" t="s">
        <v>85</v>
      </c>
      <c r="E171" t="s">
        <v>80</v>
      </c>
      <c r="F171" t="s">
        <v>77</v>
      </c>
      <c r="G171" t="s">
        <v>62</v>
      </c>
      <c r="H171" s="2">
        <v>100000</v>
      </c>
    </row>
    <row r="172" spans="2:8" x14ac:dyDescent="0.3">
      <c r="B172" s="1">
        <v>45936</v>
      </c>
      <c r="C172">
        <v>20220013038</v>
      </c>
      <c r="D172" t="s">
        <v>85</v>
      </c>
      <c r="E172" t="s">
        <v>81</v>
      </c>
      <c r="F172" t="s">
        <v>77</v>
      </c>
      <c r="G172" t="s">
        <v>62</v>
      </c>
      <c r="H172" s="2">
        <v>100000</v>
      </c>
    </row>
    <row r="173" spans="2:8" x14ac:dyDescent="0.3">
      <c r="B173" s="1">
        <v>45936</v>
      </c>
      <c r="C173">
        <v>20220013041</v>
      </c>
      <c r="D173" t="s">
        <v>85</v>
      </c>
      <c r="E173" t="s">
        <v>81</v>
      </c>
      <c r="F173" t="s">
        <v>77</v>
      </c>
      <c r="G173" t="s">
        <v>62</v>
      </c>
      <c r="H173" s="2">
        <v>100000</v>
      </c>
    </row>
    <row r="174" spans="2:8" x14ac:dyDescent="0.3">
      <c r="B174" s="1">
        <v>45936</v>
      </c>
      <c r="C174">
        <v>20220013044</v>
      </c>
      <c r="D174" t="s">
        <v>85</v>
      </c>
      <c r="E174" t="s">
        <v>82</v>
      </c>
      <c r="F174" t="s">
        <v>77</v>
      </c>
      <c r="G174" t="s">
        <v>10</v>
      </c>
      <c r="H174" s="2">
        <v>1000000</v>
      </c>
    </row>
    <row r="175" spans="2:8" x14ac:dyDescent="0.3">
      <c r="B175" s="1">
        <v>45936</v>
      </c>
      <c r="C175">
        <v>20220013047</v>
      </c>
      <c r="D175" t="s">
        <v>85</v>
      </c>
      <c r="E175" t="s">
        <v>81</v>
      </c>
      <c r="F175" t="s">
        <v>77</v>
      </c>
      <c r="G175" t="s">
        <v>44</v>
      </c>
      <c r="H175" s="2">
        <v>500000</v>
      </c>
    </row>
    <row r="176" spans="2:8" x14ac:dyDescent="0.3">
      <c r="B176" s="1">
        <v>45936</v>
      </c>
      <c r="C176">
        <v>20220013050</v>
      </c>
      <c r="D176" t="s">
        <v>85</v>
      </c>
      <c r="E176" t="s">
        <v>81</v>
      </c>
      <c r="F176" t="s">
        <v>77</v>
      </c>
      <c r="G176" t="s">
        <v>44</v>
      </c>
      <c r="H176" s="2">
        <v>500000</v>
      </c>
    </row>
    <row r="177" spans="2:8" x14ac:dyDescent="0.3">
      <c r="B177" s="1">
        <v>45937</v>
      </c>
      <c r="C177">
        <v>20220013053</v>
      </c>
      <c r="D177" t="s">
        <v>85</v>
      </c>
      <c r="E177" t="s">
        <v>82</v>
      </c>
      <c r="F177" t="s">
        <v>77</v>
      </c>
      <c r="G177" t="s">
        <v>4</v>
      </c>
      <c r="H177" s="2">
        <v>750000</v>
      </c>
    </row>
    <row r="178" spans="2:8" x14ac:dyDescent="0.3">
      <c r="B178" s="1">
        <v>45937</v>
      </c>
      <c r="C178">
        <v>20220013056</v>
      </c>
      <c r="D178" t="s">
        <v>85</v>
      </c>
      <c r="E178" t="s">
        <v>82</v>
      </c>
      <c r="F178" t="s">
        <v>77</v>
      </c>
      <c r="G178" t="s">
        <v>4</v>
      </c>
      <c r="H178" s="2">
        <v>1750000</v>
      </c>
    </row>
    <row r="179" spans="2:8" x14ac:dyDescent="0.3">
      <c r="B179" s="1">
        <v>45937</v>
      </c>
      <c r="C179">
        <v>20220013059</v>
      </c>
      <c r="D179" t="s">
        <v>85</v>
      </c>
      <c r="E179" t="s">
        <v>80</v>
      </c>
      <c r="F179" t="s">
        <v>77</v>
      </c>
      <c r="G179" t="s">
        <v>4</v>
      </c>
      <c r="H179" s="2">
        <v>750000</v>
      </c>
    </row>
    <row r="180" spans="2:8" x14ac:dyDescent="0.3">
      <c r="B180" s="1">
        <v>45937</v>
      </c>
      <c r="C180">
        <v>20220013062</v>
      </c>
      <c r="D180" t="s">
        <v>85</v>
      </c>
      <c r="E180" t="s">
        <v>80</v>
      </c>
      <c r="F180" t="s">
        <v>77</v>
      </c>
      <c r="G180" t="s">
        <v>4</v>
      </c>
      <c r="H180" s="2">
        <v>750000</v>
      </c>
    </row>
    <row r="181" spans="2:8" x14ac:dyDescent="0.3">
      <c r="B181" s="1">
        <v>45937</v>
      </c>
      <c r="C181">
        <v>20220013065</v>
      </c>
      <c r="D181" t="s">
        <v>85</v>
      </c>
      <c r="E181" t="s">
        <v>80</v>
      </c>
      <c r="F181" t="s">
        <v>77</v>
      </c>
      <c r="G181" t="s">
        <v>4</v>
      </c>
      <c r="H181" s="2">
        <v>600000</v>
      </c>
    </row>
    <row r="182" spans="2:8" x14ac:dyDescent="0.3">
      <c r="B182" s="1">
        <v>45937</v>
      </c>
      <c r="C182">
        <v>20220013068</v>
      </c>
      <c r="D182" t="s">
        <v>85</v>
      </c>
      <c r="E182" t="s">
        <v>82</v>
      </c>
      <c r="F182" t="s">
        <v>77</v>
      </c>
      <c r="G182" t="s">
        <v>4</v>
      </c>
      <c r="H182" s="2">
        <v>100000</v>
      </c>
    </row>
    <row r="183" spans="2:8" x14ac:dyDescent="0.3">
      <c r="B183" s="1">
        <v>45937</v>
      </c>
      <c r="C183">
        <v>20220013071</v>
      </c>
      <c r="D183" t="s">
        <v>85</v>
      </c>
      <c r="E183" t="s">
        <v>82</v>
      </c>
      <c r="F183" t="s">
        <v>77</v>
      </c>
      <c r="G183" t="s">
        <v>4</v>
      </c>
      <c r="H183" s="2">
        <v>100000</v>
      </c>
    </row>
    <row r="184" spans="2:8" x14ac:dyDescent="0.3">
      <c r="B184" s="1">
        <v>45937</v>
      </c>
      <c r="C184">
        <v>20220013074</v>
      </c>
      <c r="D184" t="s">
        <v>85</v>
      </c>
      <c r="E184" t="s">
        <v>80</v>
      </c>
      <c r="F184" t="s">
        <v>77</v>
      </c>
      <c r="G184" t="s">
        <v>4</v>
      </c>
      <c r="H184" s="2">
        <v>1000000</v>
      </c>
    </row>
    <row r="185" spans="2:8" x14ac:dyDescent="0.3">
      <c r="B185" s="1">
        <v>45937</v>
      </c>
      <c r="C185">
        <v>20220013077</v>
      </c>
      <c r="D185" t="s">
        <v>85</v>
      </c>
      <c r="E185" t="s">
        <v>80</v>
      </c>
      <c r="F185" t="s">
        <v>77</v>
      </c>
      <c r="G185" t="s">
        <v>60</v>
      </c>
      <c r="H185" s="2">
        <v>100000</v>
      </c>
    </row>
    <row r="186" spans="2:8" x14ac:dyDescent="0.3">
      <c r="B186" s="1">
        <v>45937</v>
      </c>
      <c r="C186">
        <v>20220013080</v>
      </c>
      <c r="D186" t="s">
        <v>85</v>
      </c>
      <c r="E186" t="s">
        <v>80</v>
      </c>
      <c r="F186" t="s">
        <v>77</v>
      </c>
      <c r="G186" t="s">
        <v>60</v>
      </c>
      <c r="H186" s="2">
        <v>100000</v>
      </c>
    </row>
    <row r="187" spans="2:8" x14ac:dyDescent="0.3">
      <c r="B187" s="1">
        <v>45937</v>
      </c>
      <c r="C187">
        <v>20220013083</v>
      </c>
      <c r="D187" t="s">
        <v>85</v>
      </c>
      <c r="E187" t="s">
        <v>80</v>
      </c>
      <c r="F187" t="s">
        <v>77</v>
      </c>
      <c r="G187" t="s">
        <v>4</v>
      </c>
      <c r="H187" s="2">
        <v>750000</v>
      </c>
    </row>
    <row r="188" spans="2:8" x14ac:dyDescent="0.3">
      <c r="B188" s="1">
        <v>45937</v>
      </c>
      <c r="C188">
        <v>20220013086</v>
      </c>
      <c r="D188" t="s">
        <v>85</v>
      </c>
      <c r="E188" t="s">
        <v>80</v>
      </c>
      <c r="F188" t="s">
        <v>77</v>
      </c>
      <c r="G188" t="s">
        <v>4</v>
      </c>
      <c r="H188" s="2">
        <v>750000</v>
      </c>
    </row>
    <row r="189" spans="2:8" x14ac:dyDescent="0.3">
      <c r="B189" s="1">
        <v>45937</v>
      </c>
      <c r="C189">
        <v>20220013089</v>
      </c>
      <c r="D189" t="s">
        <v>85</v>
      </c>
      <c r="E189" t="s">
        <v>82</v>
      </c>
      <c r="F189" t="s">
        <v>77</v>
      </c>
      <c r="G189" t="s">
        <v>3</v>
      </c>
      <c r="H189" s="2">
        <v>1000000</v>
      </c>
    </row>
    <row r="190" spans="2:8" x14ac:dyDescent="0.3">
      <c r="B190" s="1">
        <v>45937</v>
      </c>
      <c r="C190">
        <v>20220013092</v>
      </c>
      <c r="D190" t="s">
        <v>85</v>
      </c>
      <c r="E190" t="s">
        <v>82</v>
      </c>
      <c r="F190" t="s">
        <v>77</v>
      </c>
      <c r="G190" t="s">
        <v>3</v>
      </c>
      <c r="H190" s="2">
        <v>1000000</v>
      </c>
    </row>
    <row r="191" spans="2:8" x14ac:dyDescent="0.3">
      <c r="B191" s="1">
        <v>45937</v>
      </c>
      <c r="C191">
        <v>20220013095</v>
      </c>
      <c r="D191" t="s">
        <v>85</v>
      </c>
      <c r="E191" t="s">
        <v>82</v>
      </c>
      <c r="F191" t="s">
        <v>77</v>
      </c>
      <c r="G191" t="s">
        <v>6</v>
      </c>
      <c r="H191" s="2">
        <v>100000</v>
      </c>
    </row>
    <row r="192" spans="2:8" x14ac:dyDescent="0.3">
      <c r="B192" s="1">
        <v>45937</v>
      </c>
      <c r="C192">
        <v>20220013098</v>
      </c>
      <c r="D192" t="s">
        <v>85</v>
      </c>
      <c r="E192" t="s">
        <v>82</v>
      </c>
      <c r="F192" t="s">
        <v>77</v>
      </c>
      <c r="G192" t="s">
        <v>3</v>
      </c>
      <c r="H192" s="2">
        <v>750000</v>
      </c>
    </row>
    <row r="193" spans="2:8" x14ac:dyDescent="0.3">
      <c r="B193" s="1">
        <v>45937</v>
      </c>
      <c r="C193">
        <v>20220013101</v>
      </c>
      <c r="D193" t="s">
        <v>85</v>
      </c>
      <c r="E193" t="s">
        <v>82</v>
      </c>
      <c r="F193" t="s">
        <v>77</v>
      </c>
      <c r="G193" t="s">
        <v>3</v>
      </c>
      <c r="H193" s="2">
        <v>750000</v>
      </c>
    </row>
    <row r="194" spans="2:8" x14ac:dyDescent="0.3">
      <c r="B194" s="1">
        <v>45937</v>
      </c>
      <c r="C194">
        <v>20220013104</v>
      </c>
      <c r="D194" t="s">
        <v>85</v>
      </c>
      <c r="E194" t="s">
        <v>80</v>
      </c>
      <c r="F194" t="s">
        <v>77</v>
      </c>
      <c r="G194" t="s">
        <v>6</v>
      </c>
      <c r="H194" s="2">
        <v>750000</v>
      </c>
    </row>
    <row r="195" spans="2:8" x14ac:dyDescent="0.3">
      <c r="B195" s="1">
        <v>45937</v>
      </c>
      <c r="C195">
        <v>20220013107</v>
      </c>
      <c r="D195" t="s">
        <v>85</v>
      </c>
      <c r="E195" t="s">
        <v>80</v>
      </c>
      <c r="F195" t="s">
        <v>77</v>
      </c>
      <c r="G195" t="s">
        <v>6</v>
      </c>
      <c r="H195" s="2">
        <v>750000</v>
      </c>
    </row>
    <row r="196" spans="2:8" x14ac:dyDescent="0.3">
      <c r="B196" s="1">
        <v>45937</v>
      </c>
      <c r="C196">
        <v>20220013110</v>
      </c>
      <c r="D196" t="s">
        <v>85</v>
      </c>
      <c r="E196" t="s">
        <v>82</v>
      </c>
      <c r="F196" t="s">
        <v>77</v>
      </c>
      <c r="G196" t="s">
        <v>4</v>
      </c>
      <c r="H196" s="2">
        <v>100000</v>
      </c>
    </row>
    <row r="197" spans="2:8" x14ac:dyDescent="0.3">
      <c r="B197" s="1">
        <v>45937</v>
      </c>
      <c r="C197">
        <v>20220013113</v>
      </c>
      <c r="D197" t="s">
        <v>85</v>
      </c>
      <c r="E197" t="s">
        <v>80</v>
      </c>
      <c r="F197" t="s">
        <v>77</v>
      </c>
      <c r="G197" t="s">
        <v>64</v>
      </c>
      <c r="H197" s="2">
        <v>100000</v>
      </c>
    </row>
    <row r="198" spans="2:8" x14ac:dyDescent="0.3">
      <c r="B198" s="1">
        <v>45937</v>
      </c>
      <c r="C198">
        <v>20220013116</v>
      </c>
      <c r="D198" t="s">
        <v>85</v>
      </c>
      <c r="E198" t="s">
        <v>80</v>
      </c>
      <c r="F198" t="s">
        <v>77</v>
      </c>
      <c r="G198" t="s">
        <v>64</v>
      </c>
      <c r="H198" s="2">
        <v>100000</v>
      </c>
    </row>
    <row r="199" spans="2:8" x14ac:dyDescent="0.3">
      <c r="B199" s="1">
        <v>45937</v>
      </c>
      <c r="C199">
        <v>20220013119</v>
      </c>
      <c r="D199" t="s">
        <v>85</v>
      </c>
      <c r="E199" t="s">
        <v>82</v>
      </c>
      <c r="F199" t="s">
        <v>77</v>
      </c>
      <c r="G199" t="s">
        <v>64</v>
      </c>
      <c r="H199" s="2">
        <v>750000</v>
      </c>
    </row>
    <row r="200" spans="2:8" x14ac:dyDescent="0.3">
      <c r="B200" s="1">
        <v>45937</v>
      </c>
      <c r="C200">
        <v>20220013122</v>
      </c>
      <c r="D200" t="s">
        <v>85</v>
      </c>
      <c r="E200" t="s">
        <v>82</v>
      </c>
      <c r="F200" t="s">
        <v>77</v>
      </c>
      <c r="G200" t="s">
        <v>62</v>
      </c>
      <c r="H200" s="2">
        <v>750000</v>
      </c>
    </row>
    <row r="201" spans="2:8" x14ac:dyDescent="0.3">
      <c r="B201" s="1">
        <v>45937</v>
      </c>
      <c r="C201">
        <v>20220013125</v>
      </c>
      <c r="D201" t="s">
        <v>85</v>
      </c>
      <c r="E201" t="s">
        <v>81</v>
      </c>
      <c r="F201" t="s">
        <v>77</v>
      </c>
      <c r="G201" t="s">
        <v>50</v>
      </c>
      <c r="H201" s="2">
        <v>300000</v>
      </c>
    </row>
    <row r="202" spans="2:8" x14ac:dyDescent="0.3">
      <c r="B202" s="1">
        <v>45937</v>
      </c>
      <c r="C202">
        <v>20220013128</v>
      </c>
      <c r="D202" t="s">
        <v>85</v>
      </c>
      <c r="E202" t="s">
        <v>81</v>
      </c>
      <c r="F202" t="s">
        <v>77</v>
      </c>
      <c r="G202" t="s">
        <v>9</v>
      </c>
      <c r="H202" s="2">
        <v>500000</v>
      </c>
    </row>
    <row r="203" spans="2:8" x14ac:dyDescent="0.3">
      <c r="B203" s="1">
        <v>45938</v>
      </c>
      <c r="C203">
        <v>20220013131</v>
      </c>
      <c r="D203" t="s">
        <v>85</v>
      </c>
      <c r="E203" t="s">
        <v>82</v>
      </c>
      <c r="F203" t="s">
        <v>77</v>
      </c>
      <c r="G203" t="s">
        <v>10</v>
      </c>
      <c r="H203" s="2">
        <v>1000000</v>
      </c>
    </row>
    <row r="204" spans="2:8" x14ac:dyDescent="0.3">
      <c r="B204" s="1">
        <v>45938</v>
      </c>
      <c r="C204">
        <v>20220013134</v>
      </c>
      <c r="D204" t="s">
        <v>85</v>
      </c>
      <c r="E204" t="s">
        <v>82</v>
      </c>
      <c r="F204" t="s">
        <v>77</v>
      </c>
      <c r="G204" t="s">
        <v>44</v>
      </c>
      <c r="H204" s="2">
        <v>100000</v>
      </c>
    </row>
    <row r="205" spans="2:8" x14ac:dyDescent="0.3">
      <c r="B205" s="1">
        <v>45938</v>
      </c>
      <c r="C205">
        <v>20220013137</v>
      </c>
      <c r="D205" t="s">
        <v>85</v>
      </c>
      <c r="E205" t="s">
        <v>82</v>
      </c>
      <c r="F205" t="s">
        <v>77</v>
      </c>
      <c r="G205" t="s">
        <v>50</v>
      </c>
      <c r="H205" s="2">
        <v>1000000</v>
      </c>
    </row>
    <row r="206" spans="2:8" x14ac:dyDescent="0.3">
      <c r="B206" s="1">
        <v>45938</v>
      </c>
      <c r="C206">
        <v>20220013140</v>
      </c>
      <c r="D206" t="s">
        <v>85</v>
      </c>
      <c r="E206" t="s">
        <v>82</v>
      </c>
      <c r="F206" t="s">
        <v>77</v>
      </c>
      <c r="G206" t="s">
        <v>50</v>
      </c>
      <c r="H206" s="2">
        <v>800000</v>
      </c>
    </row>
    <row r="207" spans="2:8" x14ac:dyDescent="0.3">
      <c r="B207" s="1">
        <v>45938</v>
      </c>
      <c r="C207">
        <v>20220013143</v>
      </c>
      <c r="D207" t="s">
        <v>85</v>
      </c>
      <c r="E207" t="s">
        <v>82</v>
      </c>
      <c r="F207" t="s">
        <v>77</v>
      </c>
      <c r="G207" t="s">
        <v>29</v>
      </c>
      <c r="H207" s="2">
        <v>1000000</v>
      </c>
    </row>
    <row r="208" spans="2:8" x14ac:dyDescent="0.3">
      <c r="B208" s="1">
        <v>45938</v>
      </c>
      <c r="C208">
        <v>20220013146</v>
      </c>
      <c r="D208" t="s">
        <v>85</v>
      </c>
      <c r="E208" t="s">
        <v>80</v>
      </c>
      <c r="F208" t="s">
        <v>77</v>
      </c>
      <c r="G208" t="s">
        <v>9</v>
      </c>
      <c r="H208" s="2">
        <v>100000</v>
      </c>
    </row>
    <row r="209" spans="2:8" x14ac:dyDescent="0.3">
      <c r="B209" s="1">
        <v>45938</v>
      </c>
      <c r="C209">
        <v>20220013149</v>
      </c>
      <c r="D209" t="s">
        <v>85</v>
      </c>
      <c r="E209" t="s">
        <v>80</v>
      </c>
      <c r="F209" t="s">
        <v>77</v>
      </c>
      <c r="G209" t="s">
        <v>4</v>
      </c>
      <c r="H209" s="2">
        <v>100000</v>
      </c>
    </row>
    <row r="210" spans="2:8" x14ac:dyDescent="0.3">
      <c r="B210" s="1">
        <v>45938</v>
      </c>
      <c r="C210">
        <v>20220013152</v>
      </c>
      <c r="D210" t="s">
        <v>85</v>
      </c>
      <c r="E210" t="s">
        <v>81</v>
      </c>
      <c r="F210" t="s">
        <v>77</v>
      </c>
      <c r="G210" t="s">
        <v>14</v>
      </c>
      <c r="H210" s="2">
        <v>3000000</v>
      </c>
    </row>
    <row r="211" spans="2:8" x14ac:dyDescent="0.3">
      <c r="B211" s="1">
        <v>45938</v>
      </c>
      <c r="C211">
        <v>20220013155</v>
      </c>
      <c r="D211" t="s">
        <v>85</v>
      </c>
      <c r="E211" t="s">
        <v>81</v>
      </c>
      <c r="F211" t="s">
        <v>77</v>
      </c>
      <c r="G211" t="s">
        <v>41</v>
      </c>
      <c r="H211" s="2">
        <v>100000</v>
      </c>
    </row>
    <row r="212" spans="2:8" x14ac:dyDescent="0.3">
      <c r="B212" s="1">
        <v>45938</v>
      </c>
      <c r="C212">
        <v>20220013158</v>
      </c>
      <c r="D212" t="s">
        <v>85</v>
      </c>
      <c r="E212" t="s">
        <v>81</v>
      </c>
      <c r="F212" t="s">
        <v>77</v>
      </c>
      <c r="G212" t="s">
        <v>29</v>
      </c>
      <c r="H212" s="2">
        <v>100000</v>
      </c>
    </row>
    <row r="213" spans="2:8" x14ac:dyDescent="0.3">
      <c r="B213" s="1">
        <v>45938</v>
      </c>
      <c r="C213">
        <v>20220013161</v>
      </c>
      <c r="D213" t="s">
        <v>85</v>
      </c>
      <c r="E213" t="s">
        <v>82</v>
      </c>
      <c r="F213" t="s">
        <v>77</v>
      </c>
      <c r="G213" t="s">
        <v>7</v>
      </c>
      <c r="H213" s="2">
        <v>750000</v>
      </c>
    </row>
    <row r="214" spans="2:8" x14ac:dyDescent="0.3">
      <c r="B214" s="1">
        <v>45938</v>
      </c>
      <c r="C214">
        <v>20220013164</v>
      </c>
      <c r="D214" t="s">
        <v>85</v>
      </c>
      <c r="E214" t="s">
        <v>82</v>
      </c>
      <c r="F214" t="s">
        <v>77</v>
      </c>
      <c r="G214" t="s">
        <v>4</v>
      </c>
      <c r="H214" s="2">
        <v>1000000</v>
      </c>
    </row>
    <row r="215" spans="2:8" x14ac:dyDescent="0.3">
      <c r="B215" s="1">
        <v>45938</v>
      </c>
      <c r="C215">
        <v>20220013167</v>
      </c>
      <c r="D215" t="s">
        <v>85</v>
      </c>
      <c r="E215" t="s">
        <v>82</v>
      </c>
      <c r="F215" t="s">
        <v>77</v>
      </c>
      <c r="G215" t="s">
        <v>14</v>
      </c>
      <c r="H215" s="2">
        <v>1000000</v>
      </c>
    </row>
    <row r="216" spans="2:8" x14ac:dyDescent="0.3">
      <c r="B216" s="1">
        <v>45938</v>
      </c>
      <c r="C216">
        <v>20220013170</v>
      </c>
      <c r="D216" t="s">
        <v>85</v>
      </c>
      <c r="E216" t="s">
        <v>82</v>
      </c>
      <c r="F216" t="s">
        <v>77</v>
      </c>
      <c r="G216" t="s">
        <v>44</v>
      </c>
      <c r="H216" s="2">
        <v>100000</v>
      </c>
    </row>
    <row r="217" spans="2:8" x14ac:dyDescent="0.3">
      <c r="B217" s="1">
        <v>45938</v>
      </c>
      <c r="C217">
        <v>20220013173</v>
      </c>
      <c r="D217" t="s">
        <v>85</v>
      </c>
      <c r="E217" t="s">
        <v>82</v>
      </c>
      <c r="F217" t="s">
        <v>77</v>
      </c>
      <c r="G217" t="s">
        <v>29</v>
      </c>
      <c r="H217" s="2">
        <v>100000</v>
      </c>
    </row>
    <row r="218" spans="2:8" x14ac:dyDescent="0.3">
      <c r="B218" s="1">
        <v>45938</v>
      </c>
      <c r="C218">
        <v>20220013176</v>
      </c>
      <c r="D218" t="s">
        <v>85</v>
      </c>
      <c r="E218" t="s">
        <v>80</v>
      </c>
      <c r="F218" t="s">
        <v>77</v>
      </c>
      <c r="G218" t="s">
        <v>8</v>
      </c>
      <c r="H218" s="2">
        <v>1000000</v>
      </c>
    </row>
    <row r="219" spans="2:8" x14ac:dyDescent="0.3">
      <c r="B219" s="1">
        <v>45938</v>
      </c>
      <c r="C219">
        <v>20220013179</v>
      </c>
      <c r="D219" t="s">
        <v>85</v>
      </c>
      <c r="E219" t="s">
        <v>82</v>
      </c>
      <c r="F219" t="s">
        <v>77</v>
      </c>
      <c r="G219" t="s">
        <v>4</v>
      </c>
      <c r="H219" s="2">
        <v>100000</v>
      </c>
    </row>
    <row r="220" spans="2:8" x14ac:dyDescent="0.3">
      <c r="B220" s="1">
        <v>45938</v>
      </c>
      <c r="C220">
        <v>20220013182</v>
      </c>
      <c r="D220" t="s">
        <v>85</v>
      </c>
      <c r="E220" t="s">
        <v>82</v>
      </c>
      <c r="F220" t="s">
        <v>77</v>
      </c>
      <c r="G220" t="s">
        <v>14</v>
      </c>
      <c r="H220" s="2">
        <v>750000</v>
      </c>
    </row>
    <row r="221" spans="2:8" x14ac:dyDescent="0.3">
      <c r="B221" s="1">
        <v>45938</v>
      </c>
      <c r="C221">
        <v>20220013185</v>
      </c>
      <c r="D221" t="s">
        <v>85</v>
      </c>
      <c r="E221" t="s">
        <v>82</v>
      </c>
      <c r="F221" t="s">
        <v>77</v>
      </c>
      <c r="G221" t="s">
        <v>48</v>
      </c>
      <c r="H221" s="2">
        <v>100000</v>
      </c>
    </row>
    <row r="222" spans="2:8" x14ac:dyDescent="0.3">
      <c r="B222" s="1">
        <v>45938</v>
      </c>
      <c r="C222">
        <v>20220013188</v>
      </c>
      <c r="D222" t="s">
        <v>85</v>
      </c>
      <c r="E222" t="s">
        <v>80</v>
      </c>
      <c r="F222" t="s">
        <v>77</v>
      </c>
      <c r="G222" t="s">
        <v>29</v>
      </c>
      <c r="H222" s="2">
        <v>100000</v>
      </c>
    </row>
    <row r="223" spans="2:8" x14ac:dyDescent="0.3">
      <c r="B223" s="1">
        <v>45938</v>
      </c>
      <c r="C223">
        <v>20220013191</v>
      </c>
      <c r="D223" t="s">
        <v>85</v>
      </c>
      <c r="E223" t="s">
        <v>82</v>
      </c>
      <c r="F223" t="s">
        <v>77</v>
      </c>
      <c r="G223" t="s">
        <v>60</v>
      </c>
      <c r="H223" s="2">
        <v>100000</v>
      </c>
    </row>
    <row r="224" spans="2:8" x14ac:dyDescent="0.3">
      <c r="B224" s="1">
        <v>45938</v>
      </c>
      <c r="C224">
        <v>20220013194</v>
      </c>
      <c r="D224" t="s">
        <v>85</v>
      </c>
      <c r="E224" t="s">
        <v>82</v>
      </c>
      <c r="F224" t="s">
        <v>77</v>
      </c>
      <c r="G224" t="s">
        <v>4</v>
      </c>
      <c r="H224" s="2">
        <v>1000000</v>
      </c>
    </row>
    <row r="225" spans="2:8" x14ac:dyDescent="0.3">
      <c r="B225" s="1">
        <v>45938</v>
      </c>
      <c r="C225">
        <v>20220013197</v>
      </c>
      <c r="D225" t="s">
        <v>85</v>
      </c>
      <c r="E225" t="s">
        <v>82</v>
      </c>
      <c r="F225" t="s">
        <v>77</v>
      </c>
      <c r="G225" t="s">
        <v>14</v>
      </c>
      <c r="H225" s="2">
        <v>600000</v>
      </c>
    </row>
    <row r="226" spans="2:8" x14ac:dyDescent="0.3">
      <c r="B226" s="1">
        <v>45938</v>
      </c>
      <c r="C226">
        <v>20220013200</v>
      </c>
      <c r="D226" t="s">
        <v>85</v>
      </c>
      <c r="E226" t="s">
        <v>82</v>
      </c>
      <c r="F226" t="s">
        <v>77</v>
      </c>
      <c r="G226" t="s">
        <v>60</v>
      </c>
      <c r="H226" s="2">
        <v>750000</v>
      </c>
    </row>
    <row r="227" spans="2:8" x14ac:dyDescent="0.3">
      <c r="B227" s="1">
        <v>45938</v>
      </c>
      <c r="C227">
        <v>20220013203</v>
      </c>
      <c r="D227" t="s">
        <v>85</v>
      </c>
      <c r="E227" t="s">
        <v>82</v>
      </c>
      <c r="F227" t="s">
        <v>77</v>
      </c>
      <c r="G227" t="s">
        <v>29</v>
      </c>
      <c r="H227" s="2">
        <v>1000000</v>
      </c>
    </row>
    <row r="228" spans="2:8" x14ac:dyDescent="0.3">
      <c r="B228" s="1">
        <v>45938</v>
      </c>
      <c r="C228">
        <v>20220013206</v>
      </c>
      <c r="D228" t="s">
        <v>85</v>
      </c>
      <c r="E228" t="s">
        <v>82</v>
      </c>
      <c r="F228" t="s">
        <v>77</v>
      </c>
      <c r="G228" t="s">
        <v>13</v>
      </c>
      <c r="H228" s="2">
        <v>100000</v>
      </c>
    </row>
    <row r="229" spans="2:8" x14ac:dyDescent="0.3">
      <c r="B229" s="1">
        <v>45938</v>
      </c>
      <c r="C229">
        <v>20220013209</v>
      </c>
      <c r="D229" t="s">
        <v>85</v>
      </c>
      <c r="E229" t="s">
        <v>81</v>
      </c>
      <c r="F229" t="s">
        <v>77</v>
      </c>
      <c r="G229" t="s">
        <v>4</v>
      </c>
      <c r="H229" s="2">
        <v>2100000</v>
      </c>
    </row>
    <row r="230" spans="2:8" x14ac:dyDescent="0.3">
      <c r="B230" s="1">
        <v>45938</v>
      </c>
      <c r="C230">
        <v>20220013212</v>
      </c>
      <c r="D230" t="s">
        <v>85</v>
      </c>
      <c r="E230" t="s">
        <v>81</v>
      </c>
      <c r="F230" t="s">
        <v>77</v>
      </c>
      <c r="G230" t="s">
        <v>14</v>
      </c>
      <c r="H230" s="2">
        <v>100000</v>
      </c>
    </row>
    <row r="231" spans="2:8" x14ac:dyDescent="0.3">
      <c r="B231" s="1">
        <v>45938</v>
      </c>
      <c r="C231">
        <v>20220013215</v>
      </c>
      <c r="D231" t="s">
        <v>85</v>
      </c>
      <c r="E231" t="s">
        <v>80</v>
      </c>
      <c r="F231" t="s">
        <v>77</v>
      </c>
      <c r="G231" t="s">
        <v>13</v>
      </c>
      <c r="H231" s="2">
        <v>100000</v>
      </c>
    </row>
    <row r="232" spans="2:8" x14ac:dyDescent="0.3">
      <c r="B232" s="1">
        <v>45938</v>
      </c>
      <c r="C232">
        <v>20220013218</v>
      </c>
      <c r="D232" t="s">
        <v>85</v>
      </c>
      <c r="E232" t="s">
        <v>80</v>
      </c>
      <c r="F232" t="s">
        <v>77</v>
      </c>
      <c r="G232" t="s">
        <v>10</v>
      </c>
      <c r="H232" s="2">
        <v>100000</v>
      </c>
    </row>
    <row r="233" spans="2:8" x14ac:dyDescent="0.3">
      <c r="B233" s="1">
        <v>45938</v>
      </c>
      <c r="C233">
        <v>20220013221</v>
      </c>
      <c r="D233" t="s">
        <v>85</v>
      </c>
      <c r="E233" t="s">
        <v>80</v>
      </c>
      <c r="F233" t="s">
        <v>77</v>
      </c>
      <c r="G233" t="s">
        <v>9</v>
      </c>
      <c r="H233" s="2">
        <v>1000000</v>
      </c>
    </row>
    <row r="234" spans="2:8" x14ac:dyDescent="0.3">
      <c r="B234" s="1">
        <v>45938</v>
      </c>
      <c r="C234">
        <v>20220013224</v>
      </c>
      <c r="D234" t="s">
        <v>85</v>
      </c>
      <c r="E234" t="s">
        <v>81</v>
      </c>
      <c r="F234" t="s">
        <v>77</v>
      </c>
      <c r="G234" t="s">
        <v>29</v>
      </c>
      <c r="H234" s="2">
        <v>100000</v>
      </c>
    </row>
    <row r="235" spans="2:8" x14ac:dyDescent="0.3">
      <c r="B235" s="1">
        <v>45938</v>
      </c>
      <c r="C235">
        <v>20220013227</v>
      </c>
      <c r="D235" t="s">
        <v>85</v>
      </c>
      <c r="E235" t="s">
        <v>82</v>
      </c>
      <c r="F235" t="s">
        <v>77</v>
      </c>
      <c r="G235" t="s">
        <v>13</v>
      </c>
      <c r="H235" s="2">
        <v>100000</v>
      </c>
    </row>
    <row r="236" spans="2:8" x14ac:dyDescent="0.3">
      <c r="B236" s="1">
        <v>45938</v>
      </c>
      <c r="C236">
        <v>20220013230</v>
      </c>
      <c r="D236" t="s">
        <v>85</v>
      </c>
      <c r="E236" t="s">
        <v>81</v>
      </c>
      <c r="F236" t="s">
        <v>77</v>
      </c>
      <c r="G236" t="s">
        <v>4</v>
      </c>
      <c r="H236" s="2">
        <v>2000000</v>
      </c>
    </row>
    <row r="237" spans="2:8" x14ac:dyDescent="0.3">
      <c r="B237" s="1">
        <v>45938</v>
      </c>
      <c r="C237">
        <v>20220013233</v>
      </c>
      <c r="D237" t="s">
        <v>85</v>
      </c>
      <c r="E237" t="s">
        <v>80</v>
      </c>
      <c r="F237" t="s">
        <v>77</v>
      </c>
      <c r="G237" t="s">
        <v>14</v>
      </c>
      <c r="H237" s="2">
        <v>100000</v>
      </c>
    </row>
    <row r="238" spans="2:8" x14ac:dyDescent="0.3">
      <c r="B238" s="1">
        <v>45938</v>
      </c>
      <c r="C238">
        <v>20220013236</v>
      </c>
      <c r="D238" t="s">
        <v>85</v>
      </c>
      <c r="E238" t="s">
        <v>81</v>
      </c>
      <c r="F238" t="s">
        <v>77</v>
      </c>
      <c r="G238" t="s">
        <v>13</v>
      </c>
      <c r="H238" s="2">
        <v>100000</v>
      </c>
    </row>
    <row r="239" spans="2:8" x14ac:dyDescent="0.3">
      <c r="B239" s="1">
        <v>45938</v>
      </c>
      <c r="C239">
        <v>20220013239</v>
      </c>
      <c r="D239" t="s">
        <v>85</v>
      </c>
      <c r="E239" t="s">
        <v>81</v>
      </c>
      <c r="F239" t="s">
        <v>77</v>
      </c>
      <c r="G239" t="s">
        <v>6</v>
      </c>
      <c r="H239" s="2">
        <v>100000</v>
      </c>
    </row>
    <row r="240" spans="2:8" x14ac:dyDescent="0.3">
      <c r="B240" s="1">
        <v>45938</v>
      </c>
      <c r="C240">
        <v>20220013242</v>
      </c>
      <c r="D240" t="s">
        <v>85</v>
      </c>
      <c r="E240" t="s">
        <v>81</v>
      </c>
      <c r="F240" t="s">
        <v>77</v>
      </c>
      <c r="G240" t="s">
        <v>13</v>
      </c>
      <c r="H240" s="2">
        <v>750000</v>
      </c>
    </row>
    <row r="241" spans="2:8" x14ac:dyDescent="0.3">
      <c r="B241" s="1">
        <v>45938</v>
      </c>
      <c r="C241">
        <v>20220013245</v>
      </c>
      <c r="D241" t="s">
        <v>85</v>
      </c>
      <c r="E241" t="s">
        <v>81</v>
      </c>
      <c r="F241" t="s">
        <v>77</v>
      </c>
      <c r="G241" t="s">
        <v>64</v>
      </c>
      <c r="H241" s="2">
        <v>1000000</v>
      </c>
    </row>
    <row r="242" spans="2:8" x14ac:dyDescent="0.3">
      <c r="B242" s="1">
        <v>45938</v>
      </c>
      <c r="C242">
        <v>20220013248</v>
      </c>
      <c r="D242" t="s">
        <v>85</v>
      </c>
      <c r="E242" t="s">
        <v>81</v>
      </c>
      <c r="F242" t="s">
        <v>77</v>
      </c>
      <c r="G242" t="s">
        <v>6</v>
      </c>
      <c r="H242" s="2">
        <v>750000</v>
      </c>
    </row>
    <row r="243" spans="2:8" x14ac:dyDescent="0.3">
      <c r="B243" s="1">
        <v>45938</v>
      </c>
      <c r="C243">
        <v>20220013251</v>
      </c>
      <c r="D243" t="s">
        <v>85</v>
      </c>
      <c r="E243" t="s">
        <v>81</v>
      </c>
      <c r="F243" t="s">
        <v>77</v>
      </c>
      <c r="G243" t="s">
        <v>60</v>
      </c>
      <c r="H243" s="2">
        <v>100000</v>
      </c>
    </row>
    <row r="244" spans="2:8" x14ac:dyDescent="0.3">
      <c r="B244" s="1">
        <v>45938</v>
      </c>
      <c r="C244">
        <v>20220013254</v>
      </c>
      <c r="D244" t="s">
        <v>85</v>
      </c>
      <c r="E244" t="s">
        <v>81</v>
      </c>
      <c r="F244" t="s">
        <v>77</v>
      </c>
      <c r="G244" t="s">
        <v>4</v>
      </c>
      <c r="H244" s="2">
        <v>750000</v>
      </c>
    </row>
    <row r="245" spans="2:8" x14ac:dyDescent="0.3">
      <c r="B245" s="1">
        <v>45938</v>
      </c>
      <c r="C245">
        <v>20220013257</v>
      </c>
      <c r="D245" t="s">
        <v>85</v>
      </c>
      <c r="E245" t="s">
        <v>81</v>
      </c>
      <c r="F245" t="s">
        <v>77</v>
      </c>
      <c r="G245" t="s">
        <v>14</v>
      </c>
      <c r="H245" s="2">
        <v>1000000</v>
      </c>
    </row>
    <row r="246" spans="2:8" x14ac:dyDescent="0.3">
      <c r="B246" s="1">
        <v>45938</v>
      </c>
      <c r="C246">
        <v>20220013260</v>
      </c>
      <c r="D246" t="s">
        <v>85</v>
      </c>
      <c r="E246" t="s">
        <v>80</v>
      </c>
      <c r="F246" t="s">
        <v>77</v>
      </c>
      <c r="G246" t="s">
        <v>14</v>
      </c>
      <c r="H246" s="2">
        <v>100000</v>
      </c>
    </row>
    <row r="247" spans="2:8" x14ac:dyDescent="0.3">
      <c r="B247" s="1">
        <v>45938</v>
      </c>
      <c r="C247">
        <v>20220013263</v>
      </c>
      <c r="D247" t="s">
        <v>85</v>
      </c>
      <c r="E247" t="s">
        <v>80</v>
      </c>
      <c r="F247" t="s">
        <v>77</v>
      </c>
      <c r="G247" t="s">
        <v>13</v>
      </c>
      <c r="H247" s="2">
        <v>100000</v>
      </c>
    </row>
    <row r="248" spans="2:8" x14ac:dyDescent="0.3">
      <c r="B248" s="1">
        <v>45938</v>
      </c>
      <c r="C248">
        <v>20220013266</v>
      </c>
      <c r="D248" t="s">
        <v>85</v>
      </c>
      <c r="E248" t="s">
        <v>81</v>
      </c>
      <c r="F248" t="s">
        <v>77</v>
      </c>
      <c r="G248" t="s">
        <v>6</v>
      </c>
      <c r="H248" s="2">
        <v>100000</v>
      </c>
    </row>
    <row r="249" spans="2:8" x14ac:dyDescent="0.3">
      <c r="B249" s="1">
        <v>45938</v>
      </c>
      <c r="C249">
        <v>20220013269</v>
      </c>
      <c r="D249" t="s">
        <v>85</v>
      </c>
      <c r="E249" t="s">
        <v>81</v>
      </c>
      <c r="F249" t="s">
        <v>77</v>
      </c>
      <c r="G249" t="s">
        <v>13</v>
      </c>
      <c r="H249" s="2">
        <v>1000000</v>
      </c>
    </row>
    <row r="250" spans="2:8" x14ac:dyDescent="0.3">
      <c r="B250" s="1">
        <v>45938</v>
      </c>
      <c r="C250">
        <v>20220013272</v>
      </c>
      <c r="D250" t="s">
        <v>85</v>
      </c>
      <c r="E250" t="s">
        <v>81</v>
      </c>
      <c r="F250" t="s">
        <v>77</v>
      </c>
      <c r="G250" t="s">
        <v>64</v>
      </c>
      <c r="H250" s="2">
        <v>100000</v>
      </c>
    </row>
    <row r="251" spans="2:8" x14ac:dyDescent="0.3">
      <c r="B251" s="1">
        <v>45938</v>
      </c>
      <c r="C251">
        <v>20220013275</v>
      </c>
      <c r="D251" t="s">
        <v>85</v>
      </c>
      <c r="E251" t="s">
        <v>81</v>
      </c>
      <c r="F251" t="s">
        <v>77</v>
      </c>
      <c r="G251" t="s">
        <v>6</v>
      </c>
      <c r="H251" s="2">
        <v>750000</v>
      </c>
    </row>
    <row r="252" spans="2:8" x14ac:dyDescent="0.3">
      <c r="B252" s="1">
        <v>45938</v>
      </c>
      <c r="C252">
        <v>20220013278</v>
      </c>
      <c r="D252" t="s">
        <v>85</v>
      </c>
      <c r="E252" t="s">
        <v>81</v>
      </c>
      <c r="F252" t="s">
        <v>77</v>
      </c>
      <c r="G252" t="s">
        <v>60</v>
      </c>
      <c r="H252" s="2">
        <v>100000</v>
      </c>
    </row>
    <row r="253" spans="2:8" x14ac:dyDescent="0.3">
      <c r="B253" s="1">
        <v>45938</v>
      </c>
      <c r="C253">
        <v>20220013281</v>
      </c>
      <c r="D253" t="s">
        <v>85</v>
      </c>
      <c r="E253" t="s">
        <v>80</v>
      </c>
      <c r="F253" t="s">
        <v>77</v>
      </c>
      <c r="G253" t="s">
        <v>4</v>
      </c>
      <c r="H253" s="2">
        <v>100000</v>
      </c>
    </row>
    <row r="254" spans="2:8" x14ac:dyDescent="0.3">
      <c r="B254" s="1">
        <v>45938</v>
      </c>
      <c r="C254">
        <v>20220013284</v>
      </c>
      <c r="D254" t="s">
        <v>85</v>
      </c>
      <c r="E254" t="s">
        <v>80</v>
      </c>
      <c r="F254" t="s">
        <v>77</v>
      </c>
      <c r="G254" t="s">
        <v>14</v>
      </c>
      <c r="H254" s="2">
        <v>750000</v>
      </c>
    </row>
    <row r="255" spans="2:8" x14ac:dyDescent="0.3">
      <c r="B255" s="1">
        <v>45938</v>
      </c>
      <c r="C255">
        <v>20220013287</v>
      </c>
      <c r="D255" t="s">
        <v>85</v>
      </c>
      <c r="E255" t="s">
        <v>80</v>
      </c>
      <c r="F255" t="s">
        <v>77</v>
      </c>
      <c r="G255" t="s">
        <v>29</v>
      </c>
      <c r="H255" s="2">
        <v>450000</v>
      </c>
    </row>
    <row r="256" spans="2:8" x14ac:dyDescent="0.3">
      <c r="B256" s="1">
        <v>45938</v>
      </c>
      <c r="C256">
        <v>20220013290</v>
      </c>
      <c r="D256" t="s">
        <v>85</v>
      </c>
      <c r="E256" t="s">
        <v>81</v>
      </c>
      <c r="F256" t="s">
        <v>77</v>
      </c>
      <c r="G256" t="s">
        <v>41</v>
      </c>
      <c r="H256" s="2">
        <v>1000000</v>
      </c>
    </row>
    <row r="257" spans="2:8" x14ac:dyDescent="0.3">
      <c r="B257" s="1">
        <v>45938</v>
      </c>
      <c r="C257">
        <v>20220013293</v>
      </c>
      <c r="D257" t="s">
        <v>85</v>
      </c>
      <c r="E257" t="s">
        <v>81</v>
      </c>
      <c r="F257" t="s">
        <v>77</v>
      </c>
      <c r="G257" t="s">
        <v>4</v>
      </c>
      <c r="H257" s="2">
        <v>100000</v>
      </c>
    </row>
    <row r="258" spans="2:8" x14ac:dyDescent="0.3">
      <c r="B258" s="1">
        <v>45938</v>
      </c>
      <c r="C258">
        <v>20220013296</v>
      </c>
      <c r="D258" t="s">
        <v>85</v>
      </c>
      <c r="E258" t="s">
        <v>81</v>
      </c>
      <c r="F258" t="s">
        <v>77</v>
      </c>
      <c r="G258" t="s">
        <v>14</v>
      </c>
      <c r="H258" s="2">
        <v>100000</v>
      </c>
    </row>
    <row r="259" spans="2:8" x14ac:dyDescent="0.3">
      <c r="B259" s="1">
        <v>45938</v>
      </c>
      <c r="C259">
        <v>20220013299</v>
      </c>
      <c r="D259" t="s">
        <v>85</v>
      </c>
      <c r="E259" t="s">
        <v>81</v>
      </c>
      <c r="F259" t="s">
        <v>77</v>
      </c>
      <c r="G259" t="s">
        <v>7</v>
      </c>
      <c r="H259" s="2">
        <v>750000</v>
      </c>
    </row>
    <row r="260" spans="2:8" x14ac:dyDescent="0.3">
      <c r="B260" s="1">
        <v>45938</v>
      </c>
      <c r="C260">
        <v>20220013302</v>
      </c>
      <c r="D260" t="s">
        <v>85</v>
      </c>
      <c r="E260" t="s">
        <v>80</v>
      </c>
      <c r="F260" t="s">
        <v>77</v>
      </c>
      <c r="G260" t="s">
        <v>64</v>
      </c>
      <c r="H260" s="2">
        <v>100000</v>
      </c>
    </row>
    <row r="261" spans="2:8" x14ac:dyDescent="0.3">
      <c r="B261" s="1">
        <v>45938</v>
      </c>
      <c r="C261">
        <v>20220013305</v>
      </c>
      <c r="D261" t="s">
        <v>85</v>
      </c>
      <c r="E261" t="s">
        <v>80</v>
      </c>
      <c r="F261" t="s">
        <v>77</v>
      </c>
      <c r="G261" t="s">
        <v>64</v>
      </c>
      <c r="H261" s="2">
        <v>750000</v>
      </c>
    </row>
    <row r="262" spans="2:8" x14ac:dyDescent="0.3">
      <c r="B262" s="1">
        <v>45938</v>
      </c>
      <c r="C262">
        <v>20220013308</v>
      </c>
      <c r="D262" t="s">
        <v>85</v>
      </c>
      <c r="E262" t="s">
        <v>80</v>
      </c>
      <c r="F262" t="s">
        <v>77</v>
      </c>
      <c r="G262" t="s">
        <v>64</v>
      </c>
      <c r="H262" s="2">
        <v>100000</v>
      </c>
    </row>
    <row r="263" spans="2:8" x14ac:dyDescent="0.3">
      <c r="B263" s="1">
        <v>45938</v>
      </c>
      <c r="C263">
        <v>20220013311</v>
      </c>
      <c r="D263" t="s">
        <v>85</v>
      </c>
      <c r="E263" t="s">
        <v>80</v>
      </c>
      <c r="F263" t="s">
        <v>77</v>
      </c>
      <c r="G263" t="s">
        <v>64</v>
      </c>
      <c r="H263" s="2">
        <v>750000</v>
      </c>
    </row>
    <row r="264" spans="2:8" x14ac:dyDescent="0.3">
      <c r="B264" s="1">
        <v>45938</v>
      </c>
      <c r="C264">
        <v>20220013314</v>
      </c>
      <c r="D264" t="s">
        <v>85</v>
      </c>
      <c r="E264" t="s">
        <v>80</v>
      </c>
      <c r="F264" t="s">
        <v>77</v>
      </c>
      <c r="G264" t="s">
        <v>44</v>
      </c>
      <c r="H264" s="2">
        <v>750000</v>
      </c>
    </row>
    <row r="265" spans="2:8" x14ac:dyDescent="0.3">
      <c r="B265" s="1">
        <v>45938</v>
      </c>
      <c r="C265">
        <v>20220013317</v>
      </c>
      <c r="D265" t="s">
        <v>85</v>
      </c>
      <c r="E265" t="s">
        <v>80</v>
      </c>
      <c r="F265" t="s">
        <v>77</v>
      </c>
      <c r="G265" t="s">
        <v>64</v>
      </c>
      <c r="H265" s="2">
        <v>1000000</v>
      </c>
    </row>
    <row r="266" spans="2:8" x14ac:dyDescent="0.3">
      <c r="B266" s="1">
        <v>45938</v>
      </c>
      <c r="C266">
        <v>20220013320</v>
      </c>
      <c r="D266" t="s">
        <v>85</v>
      </c>
      <c r="E266" t="s">
        <v>80</v>
      </c>
      <c r="F266" t="s">
        <v>77</v>
      </c>
      <c r="G266" t="s">
        <v>64</v>
      </c>
      <c r="H266" s="2">
        <v>100000</v>
      </c>
    </row>
    <row r="267" spans="2:8" x14ac:dyDescent="0.3">
      <c r="B267" s="1">
        <v>45938</v>
      </c>
      <c r="C267">
        <v>20220013323</v>
      </c>
      <c r="D267" t="s">
        <v>85</v>
      </c>
      <c r="E267" t="s">
        <v>80</v>
      </c>
      <c r="F267" t="s">
        <v>77</v>
      </c>
      <c r="G267" t="s">
        <v>64</v>
      </c>
      <c r="H267" s="2">
        <v>750000</v>
      </c>
    </row>
    <row r="268" spans="2:8" x14ac:dyDescent="0.3">
      <c r="B268" s="1">
        <v>45938</v>
      </c>
      <c r="C268">
        <v>20220013326</v>
      </c>
      <c r="D268" t="s">
        <v>85</v>
      </c>
      <c r="E268" t="s">
        <v>80</v>
      </c>
      <c r="F268" t="s">
        <v>77</v>
      </c>
      <c r="G268" t="s">
        <v>64</v>
      </c>
      <c r="H268" s="2">
        <v>750000</v>
      </c>
    </row>
    <row r="269" spans="2:8" x14ac:dyDescent="0.3">
      <c r="B269" s="1">
        <v>45938</v>
      </c>
      <c r="C269">
        <v>20220013329</v>
      </c>
      <c r="D269" t="s">
        <v>85</v>
      </c>
      <c r="E269" t="s">
        <v>80</v>
      </c>
      <c r="F269" t="s">
        <v>77</v>
      </c>
      <c r="G269" t="s">
        <v>64</v>
      </c>
      <c r="H269" s="2">
        <v>1000000</v>
      </c>
    </row>
    <row r="270" spans="2:8" x14ac:dyDescent="0.3">
      <c r="B270" s="1">
        <v>45938</v>
      </c>
      <c r="C270">
        <v>20220013332</v>
      </c>
      <c r="D270" t="s">
        <v>85</v>
      </c>
      <c r="E270" t="s">
        <v>81</v>
      </c>
      <c r="F270" t="s">
        <v>77</v>
      </c>
      <c r="G270" t="s">
        <v>64</v>
      </c>
      <c r="H270" s="2">
        <v>1000000</v>
      </c>
    </row>
    <row r="271" spans="2:8" x14ac:dyDescent="0.3">
      <c r="B271" s="1">
        <v>45938</v>
      </c>
      <c r="C271">
        <v>20220013335</v>
      </c>
      <c r="D271" t="s">
        <v>85</v>
      </c>
      <c r="E271" t="s">
        <v>80</v>
      </c>
      <c r="F271" t="s">
        <v>77</v>
      </c>
      <c r="G271" t="s">
        <v>64</v>
      </c>
      <c r="H271" s="2">
        <v>100000</v>
      </c>
    </row>
    <row r="272" spans="2:8" x14ac:dyDescent="0.3">
      <c r="B272" s="1">
        <v>45938</v>
      </c>
      <c r="C272">
        <v>20220013338</v>
      </c>
      <c r="D272" t="s">
        <v>85</v>
      </c>
      <c r="E272" t="s">
        <v>81</v>
      </c>
      <c r="F272" t="s">
        <v>77</v>
      </c>
      <c r="G272" t="s">
        <v>64</v>
      </c>
      <c r="H272" s="2">
        <v>600000</v>
      </c>
    </row>
    <row r="273" spans="2:8" x14ac:dyDescent="0.3">
      <c r="B273" s="1">
        <v>45938</v>
      </c>
      <c r="C273">
        <v>20220013341</v>
      </c>
      <c r="D273" t="s">
        <v>85</v>
      </c>
      <c r="E273" t="s">
        <v>81</v>
      </c>
      <c r="F273" t="s">
        <v>77</v>
      </c>
      <c r="G273" t="s">
        <v>62</v>
      </c>
      <c r="H273" s="2">
        <v>750000</v>
      </c>
    </row>
    <row r="274" spans="2:8" x14ac:dyDescent="0.3">
      <c r="B274" s="1">
        <v>45938</v>
      </c>
      <c r="C274">
        <v>20220013344</v>
      </c>
      <c r="D274" t="s">
        <v>85</v>
      </c>
      <c r="E274" t="s">
        <v>80</v>
      </c>
      <c r="F274" t="s">
        <v>77</v>
      </c>
      <c r="G274" t="s">
        <v>62</v>
      </c>
      <c r="H274" s="2">
        <v>1000000</v>
      </c>
    </row>
    <row r="275" spans="2:8" x14ac:dyDescent="0.3">
      <c r="B275" s="1">
        <v>45938</v>
      </c>
      <c r="C275">
        <v>20220013347</v>
      </c>
      <c r="D275" t="s">
        <v>85</v>
      </c>
      <c r="E275" t="s">
        <v>80</v>
      </c>
      <c r="F275" t="s">
        <v>77</v>
      </c>
      <c r="G275" t="s">
        <v>62</v>
      </c>
      <c r="H275" s="2">
        <v>100000</v>
      </c>
    </row>
    <row r="276" spans="2:8" x14ac:dyDescent="0.3">
      <c r="B276" s="1">
        <v>45938</v>
      </c>
      <c r="C276">
        <v>20220013350</v>
      </c>
      <c r="D276" t="s">
        <v>85</v>
      </c>
      <c r="E276" t="s">
        <v>81</v>
      </c>
      <c r="F276" t="s">
        <v>77</v>
      </c>
      <c r="G276" t="s">
        <v>62</v>
      </c>
      <c r="H276" s="2">
        <v>750000</v>
      </c>
    </row>
    <row r="277" spans="2:8" x14ac:dyDescent="0.3">
      <c r="B277" s="1">
        <v>45938</v>
      </c>
      <c r="C277">
        <v>20220013353</v>
      </c>
      <c r="D277" t="s">
        <v>85</v>
      </c>
      <c r="E277" t="s">
        <v>80</v>
      </c>
      <c r="F277" t="s">
        <v>77</v>
      </c>
      <c r="G277" t="s">
        <v>62</v>
      </c>
      <c r="H277" s="2">
        <v>1000000</v>
      </c>
    </row>
    <row r="278" spans="2:8" x14ac:dyDescent="0.3">
      <c r="B278" s="1">
        <v>45939</v>
      </c>
      <c r="C278">
        <v>20220013356</v>
      </c>
      <c r="D278" t="s">
        <v>85</v>
      </c>
      <c r="E278" t="s">
        <v>81</v>
      </c>
      <c r="F278" t="s">
        <v>77</v>
      </c>
      <c r="G278" t="s">
        <v>10</v>
      </c>
      <c r="H278" s="2">
        <v>100000</v>
      </c>
    </row>
    <row r="279" spans="2:8" x14ac:dyDescent="0.3">
      <c r="B279" s="1">
        <v>45939</v>
      </c>
      <c r="C279">
        <v>20220013359</v>
      </c>
      <c r="D279" t="s">
        <v>85</v>
      </c>
      <c r="E279" t="s">
        <v>81</v>
      </c>
      <c r="F279" t="s">
        <v>77</v>
      </c>
      <c r="G279" t="s">
        <v>10</v>
      </c>
      <c r="H279" s="2">
        <v>100000</v>
      </c>
    </row>
    <row r="280" spans="2:8" x14ac:dyDescent="0.3">
      <c r="B280" s="1">
        <v>45939</v>
      </c>
      <c r="C280">
        <v>20220013362</v>
      </c>
      <c r="D280" t="s">
        <v>85</v>
      </c>
      <c r="E280" t="s">
        <v>81</v>
      </c>
      <c r="F280" t="s">
        <v>77</v>
      </c>
      <c r="G280" t="s">
        <v>10</v>
      </c>
      <c r="H280" s="2">
        <v>1000000</v>
      </c>
    </row>
    <row r="281" spans="2:8" x14ac:dyDescent="0.3">
      <c r="B281" s="1">
        <v>45939</v>
      </c>
      <c r="C281">
        <v>20220013365</v>
      </c>
      <c r="D281" t="s">
        <v>85</v>
      </c>
      <c r="E281" t="s">
        <v>81</v>
      </c>
      <c r="F281" t="s">
        <v>77</v>
      </c>
      <c r="G281" t="s">
        <v>64</v>
      </c>
      <c r="H281" s="2">
        <v>750000</v>
      </c>
    </row>
    <row r="282" spans="2:8" x14ac:dyDescent="0.3">
      <c r="B282" s="1">
        <v>45939</v>
      </c>
      <c r="C282">
        <v>20220013368</v>
      </c>
      <c r="D282" t="s">
        <v>85</v>
      </c>
      <c r="E282" t="s">
        <v>81</v>
      </c>
      <c r="F282" t="s">
        <v>77</v>
      </c>
      <c r="G282" t="s">
        <v>62</v>
      </c>
      <c r="H282" s="2">
        <v>750000</v>
      </c>
    </row>
    <row r="283" spans="2:8" x14ac:dyDescent="0.3">
      <c r="B283" s="1">
        <v>45940</v>
      </c>
      <c r="C283">
        <v>20220013371</v>
      </c>
      <c r="D283" t="s">
        <v>85</v>
      </c>
      <c r="E283" t="s">
        <v>81</v>
      </c>
      <c r="F283" t="s">
        <v>77</v>
      </c>
      <c r="G283" t="s">
        <v>7</v>
      </c>
      <c r="H283" s="2">
        <v>100000</v>
      </c>
    </row>
    <row r="284" spans="2:8" x14ac:dyDescent="0.3">
      <c r="B284" s="1">
        <v>45940</v>
      </c>
      <c r="C284">
        <v>20220013374</v>
      </c>
      <c r="D284" t="s">
        <v>85</v>
      </c>
      <c r="E284" t="s">
        <v>81</v>
      </c>
      <c r="F284" t="s">
        <v>77</v>
      </c>
      <c r="G284" t="s">
        <v>4</v>
      </c>
      <c r="H284" s="2">
        <v>1000000</v>
      </c>
    </row>
    <row r="285" spans="2:8" x14ac:dyDescent="0.3">
      <c r="B285" s="1">
        <v>45940</v>
      </c>
      <c r="C285">
        <v>20220013377</v>
      </c>
      <c r="D285" t="s">
        <v>85</v>
      </c>
      <c r="E285" t="s">
        <v>81</v>
      </c>
      <c r="F285" t="s">
        <v>77</v>
      </c>
      <c r="G285" t="s">
        <v>8</v>
      </c>
      <c r="H285" s="2">
        <v>750000</v>
      </c>
    </row>
    <row r="286" spans="2:8" x14ac:dyDescent="0.3">
      <c r="B286" s="1">
        <v>45940</v>
      </c>
      <c r="C286">
        <v>20220013380</v>
      </c>
      <c r="D286" t="s">
        <v>85</v>
      </c>
      <c r="E286" t="s">
        <v>81</v>
      </c>
      <c r="F286" t="s">
        <v>77</v>
      </c>
      <c r="G286" t="s">
        <v>4</v>
      </c>
      <c r="H286" s="2">
        <v>100000</v>
      </c>
    </row>
    <row r="287" spans="2:8" x14ac:dyDescent="0.3">
      <c r="B287" s="1">
        <v>45940</v>
      </c>
      <c r="C287">
        <v>20220013383</v>
      </c>
      <c r="D287" t="s">
        <v>85</v>
      </c>
      <c r="E287" t="s">
        <v>80</v>
      </c>
      <c r="F287" t="s">
        <v>77</v>
      </c>
      <c r="G287" t="s">
        <v>8</v>
      </c>
      <c r="H287" s="2">
        <v>100000</v>
      </c>
    </row>
    <row r="288" spans="2:8" x14ac:dyDescent="0.3">
      <c r="B288" s="1">
        <v>45940</v>
      </c>
      <c r="C288">
        <v>20220013386</v>
      </c>
      <c r="D288" t="s">
        <v>85</v>
      </c>
      <c r="E288" t="s">
        <v>81</v>
      </c>
      <c r="F288" t="s">
        <v>77</v>
      </c>
      <c r="G288" t="s">
        <v>4</v>
      </c>
      <c r="H288" s="2">
        <v>100000</v>
      </c>
    </row>
    <row r="289" spans="2:8" x14ac:dyDescent="0.3">
      <c r="B289" s="1">
        <v>45940</v>
      </c>
      <c r="C289">
        <v>20220013389</v>
      </c>
      <c r="D289" t="s">
        <v>85</v>
      </c>
      <c r="E289" t="s">
        <v>81</v>
      </c>
      <c r="F289" t="s">
        <v>77</v>
      </c>
      <c r="G289" t="s">
        <v>4</v>
      </c>
      <c r="H289" s="2">
        <v>750000</v>
      </c>
    </row>
    <row r="290" spans="2:8" x14ac:dyDescent="0.3">
      <c r="B290" s="1">
        <v>45940</v>
      </c>
      <c r="C290">
        <v>20220013392</v>
      </c>
      <c r="D290" t="s">
        <v>85</v>
      </c>
      <c r="E290" t="s">
        <v>81</v>
      </c>
      <c r="F290" t="s">
        <v>77</v>
      </c>
      <c r="G290" t="s">
        <v>44</v>
      </c>
      <c r="H290" s="2">
        <v>750000</v>
      </c>
    </row>
    <row r="291" spans="2:8" x14ac:dyDescent="0.3">
      <c r="B291" s="1">
        <v>45940</v>
      </c>
      <c r="C291">
        <v>20220013395</v>
      </c>
      <c r="D291" t="s">
        <v>85</v>
      </c>
      <c r="E291" t="s">
        <v>81</v>
      </c>
      <c r="F291" t="s">
        <v>77</v>
      </c>
      <c r="G291" t="s">
        <v>64</v>
      </c>
      <c r="H291" s="2">
        <v>1000000</v>
      </c>
    </row>
    <row r="292" spans="2:8" x14ac:dyDescent="0.3">
      <c r="B292" s="1">
        <v>45940</v>
      </c>
      <c r="C292">
        <v>20220013398</v>
      </c>
      <c r="D292" t="s">
        <v>85</v>
      </c>
      <c r="E292" t="s">
        <v>81</v>
      </c>
      <c r="F292" t="s">
        <v>77</v>
      </c>
      <c r="G292" t="s">
        <v>64</v>
      </c>
      <c r="H292" s="2">
        <v>750000</v>
      </c>
    </row>
    <row r="293" spans="2:8" x14ac:dyDescent="0.3">
      <c r="B293" s="1">
        <v>45940</v>
      </c>
      <c r="C293">
        <v>20220013401</v>
      </c>
      <c r="D293" t="s">
        <v>85</v>
      </c>
      <c r="E293" t="s">
        <v>80</v>
      </c>
      <c r="F293" t="s">
        <v>77</v>
      </c>
      <c r="G293" t="s">
        <v>62</v>
      </c>
      <c r="H293" s="2">
        <v>750000</v>
      </c>
    </row>
    <row r="294" spans="2:8" x14ac:dyDescent="0.3">
      <c r="B294" s="1">
        <v>45941</v>
      </c>
      <c r="C294">
        <v>20220013404</v>
      </c>
      <c r="D294" t="s">
        <v>85</v>
      </c>
      <c r="E294" t="s">
        <v>80</v>
      </c>
      <c r="F294" t="s">
        <v>77</v>
      </c>
      <c r="G294" t="s">
        <v>4</v>
      </c>
      <c r="H294" s="2">
        <v>1000000</v>
      </c>
    </row>
    <row r="295" spans="2:8" x14ac:dyDescent="0.3">
      <c r="B295" s="1">
        <v>45941</v>
      </c>
      <c r="C295">
        <v>20220013407</v>
      </c>
      <c r="D295" t="s">
        <v>85</v>
      </c>
      <c r="E295" t="s">
        <v>80</v>
      </c>
      <c r="F295" t="s">
        <v>77</v>
      </c>
      <c r="G295" t="s">
        <v>56</v>
      </c>
      <c r="H295" s="2">
        <v>100000</v>
      </c>
    </row>
    <row r="296" spans="2:8" x14ac:dyDescent="0.3">
      <c r="B296" s="1">
        <v>45942</v>
      </c>
      <c r="C296">
        <v>20220013410</v>
      </c>
      <c r="D296" t="s">
        <v>85</v>
      </c>
      <c r="E296" t="s">
        <v>81</v>
      </c>
      <c r="F296" t="s">
        <v>77</v>
      </c>
      <c r="G296" t="s">
        <v>3</v>
      </c>
      <c r="H296" s="2">
        <v>100000</v>
      </c>
    </row>
    <row r="297" spans="2:8" x14ac:dyDescent="0.3">
      <c r="B297" s="1">
        <v>45942</v>
      </c>
      <c r="C297">
        <v>20220013413</v>
      </c>
      <c r="D297" t="s">
        <v>85</v>
      </c>
      <c r="E297" t="s">
        <v>81</v>
      </c>
      <c r="F297" t="s">
        <v>77</v>
      </c>
      <c r="G297" t="s">
        <v>8</v>
      </c>
      <c r="H297" s="2">
        <v>100000</v>
      </c>
    </row>
    <row r="298" spans="2:8" x14ac:dyDescent="0.3">
      <c r="B298" s="1">
        <v>45942</v>
      </c>
      <c r="C298">
        <v>20220013416</v>
      </c>
      <c r="D298" t="s">
        <v>85</v>
      </c>
      <c r="E298" t="s">
        <v>80</v>
      </c>
      <c r="F298" t="s">
        <v>77</v>
      </c>
      <c r="G298" t="s">
        <v>2</v>
      </c>
      <c r="H298" s="2">
        <v>750000</v>
      </c>
    </row>
    <row r="299" spans="2:8" x14ac:dyDescent="0.3">
      <c r="B299" s="1">
        <v>45942</v>
      </c>
      <c r="C299">
        <v>20220013419</v>
      </c>
      <c r="D299" t="s">
        <v>85</v>
      </c>
      <c r="E299" t="s">
        <v>80</v>
      </c>
      <c r="F299" t="s">
        <v>77</v>
      </c>
      <c r="G299" t="s">
        <v>44</v>
      </c>
      <c r="H299" s="2">
        <v>500000</v>
      </c>
    </row>
    <row r="300" spans="2:8" x14ac:dyDescent="0.3">
      <c r="B300" s="1">
        <v>45942</v>
      </c>
      <c r="C300">
        <v>20220013422</v>
      </c>
      <c r="D300" t="s">
        <v>85</v>
      </c>
      <c r="E300" t="s">
        <v>81</v>
      </c>
      <c r="F300" t="s">
        <v>77</v>
      </c>
      <c r="G300" t="s">
        <v>14</v>
      </c>
      <c r="H300" s="2">
        <v>100000</v>
      </c>
    </row>
    <row r="301" spans="2:8" x14ac:dyDescent="0.3">
      <c r="B301" s="1">
        <v>45942</v>
      </c>
      <c r="C301">
        <v>20220013425</v>
      </c>
      <c r="D301" t="s">
        <v>85</v>
      </c>
      <c r="E301" t="s">
        <v>81</v>
      </c>
      <c r="F301" t="s">
        <v>77</v>
      </c>
      <c r="G301" t="s">
        <v>8</v>
      </c>
      <c r="H301" s="2">
        <v>1000000</v>
      </c>
    </row>
    <row r="302" spans="2:8" x14ac:dyDescent="0.3">
      <c r="B302" s="1">
        <v>45942</v>
      </c>
      <c r="C302">
        <v>20220013428</v>
      </c>
      <c r="D302" t="s">
        <v>85</v>
      </c>
      <c r="E302" t="s">
        <v>81</v>
      </c>
      <c r="F302" t="s">
        <v>77</v>
      </c>
      <c r="G302" t="s">
        <v>3</v>
      </c>
      <c r="H302" s="2">
        <v>750000</v>
      </c>
    </row>
    <row r="303" spans="2:8" x14ac:dyDescent="0.3">
      <c r="B303" s="1">
        <v>45942</v>
      </c>
      <c r="C303">
        <v>20220013431</v>
      </c>
      <c r="D303" t="s">
        <v>85</v>
      </c>
      <c r="E303" t="s">
        <v>81</v>
      </c>
      <c r="F303" t="s">
        <v>77</v>
      </c>
      <c r="G303" t="s">
        <v>3</v>
      </c>
      <c r="H303" s="2">
        <v>750000</v>
      </c>
    </row>
    <row r="304" spans="2:8" x14ac:dyDescent="0.3">
      <c r="B304" s="1">
        <v>45942</v>
      </c>
      <c r="C304">
        <v>20220013434</v>
      </c>
      <c r="D304" t="s">
        <v>85</v>
      </c>
      <c r="E304" t="s">
        <v>81</v>
      </c>
      <c r="F304" t="s">
        <v>77</v>
      </c>
      <c r="G304" t="s">
        <v>41</v>
      </c>
      <c r="H304" s="2">
        <v>350000</v>
      </c>
    </row>
    <row r="305" spans="2:8" x14ac:dyDescent="0.3">
      <c r="B305" s="1">
        <v>45942</v>
      </c>
      <c r="C305">
        <v>20220013437</v>
      </c>
      <c r="D305" t="s">
        <v>85</v>
      </c>
      <c r="E305" t="s">
        <v>81</v>
      </c>
      <c r="F305" t="s">
        <v>77</v>
      </c>
      <c r="G305" t="s">
        <v>2</v>
      </c>
      <c r="H305" s="2">
        <v>1000000</v>
      </c>
    </row>
    <row r="306" spans="2:8" x14ac:dyDescent="0.3">
      <c r="B306" s="1">
        <v>45942</v>
      </c>
      <c r="C306">
        <v>20220013440</v>
      </c>
      <c r="D306" t="s">
        <v>85</v>
      </c>
      <c r="E306" t="s">
        <v>81</v>
      </c>
      <c r="F306" t="s">
        <v>77</v>
      </c>
      <c r="G306" t="s">
        <v>14</v>
      </c>
      <c r="H306" s="2">
        <v>300000</v>
      </c>
    </row>
    <row r="307" spans="2:8" x14ac:dyDescent="0.3">
      <c r="B307" s="1">
        <v>45942</v>
      </c>
      <c r="C307">
        <v>20220013443</v>
      </c>
      <c r="D307" t="s">
        <v>85</v>
      </c>
      <c r="E307" t="s">
        <v>80</v>
      </c>
      <c r="F307" t="s">
        <v>77</v>
      </c>
      <c r="G307" t="s">
        <v>7</v>
      </c>
      <c r="H307" s="2">
        <v>750000</v>
      </c>
    </row>
    <row r="308" spans="2:8" x14ac:dyDescent="0.3">
      <c r="B308" s="1">
        <v>45943</v>
      </c>
      <c r="C308">
        <v>20220013446</v>
      </c>
      <c r="D308" t="s">
        <v>85</v>
      </c>
      <c r="E308" t="s">
        <v>82</v>
      </c>
      <c r="F308" t="s">
        <v>77</v>
      </c>
      <c r="G308" t="s">
        <v>6</v>
      </c>
      <c r="H308" s="2">
        <v>100000</v>
      </c>
    </row>
    <row r="309" spans="2:8" x14ac:dyDescent="0.3">
      <c r="B309" s="1">
        <v>45943</v>
      </c>
      <c r="C309">
        <v>20220013449</v>
      </c>
      <c r="D309" t="s">
        <v>85</v>
      </c>
      <c r="E309" t="s">
        <v>81</v>
      </c>
      <c r="F309" t="s">
        <v>77</v>
      </c>
      <c r="G309" t="s">
        <v>44</v>
      </c>
      <c r="H309" s="2">
        <v>750000</v>
      </c>
    </row>
    <row r="310" spans="2:8" x14ac:dyDescent="0.3">
      <c r="B310" s="1">
        <v>45943</v>
      </c>
      <c r="C310">
        <v>20220013452</v>
      </c>
      <c r="D310" t="s">
        <v>85</v>
      </c>
      <c r="E310" t="s">
        <v>80</v>
      </c>
      <c r="F310" t="s">
        <v>77</v>
      </c>
      <c r="G310" t="s">
        <v>8</v>
      </c>
      <c r="H310" s="2">
        <v>100000</v>
      </c>
    </row>
    <row r="311" spans="2:8" x14ac:dyDescent="0.3">
      <c r="B311" s="1">
        <v>45943</v>
      </c>
      <c r="C311">
        <v>20220013455</v>
      </c>
      <c r="D311" t="s">
        <v>85</v>
      </c>
      <c r="E311" t="s">
        <v>80</v>
      </c>
      <c r="F311" t="s">
        <v>77</v>
      </c>
      <c r="G311" t="s">
        <v>44</v>
      </c>
      <c r="H311" s="2">
        <v>100000</v>
      </c>
    </row>
    <row r="312" spans="2:8" x14ac:dyDescent="0.3">
      <c r="B312" s="1">
        <v>45943</v>
      </c>
      <c r="C312">
        <v>20220013458</v>
      </c>
      <c r="D312" t="s">
        <v>85</v>
      </c>
      <c r="E312" t="s">
        <v>80</v>
      </c>
      <c r="F312" t="s">
        <v>77</v>
      </c>
      <c r="G312" t="s">
        <v>48</v>
      </c>
      <c r="H312" s="2">
        <v>750000</v>
      </c>
    </row>
    <row r="313" spans="2:8" x14ac:dyDescent="0.3">
      <c r="B313" s="1">
        <v>45943</v>
      </c>
      <c r="C313">
        <v>20220013461</v>
      </c>
      <c r="D313" t="s">
        <v>85</v>
      </c>
      <c r="E313" t="s">
        <v>80</v>
      </c>
      <c r="F313" t="s">
        <v>77</v>
      </c>
      <c r="G313" t="s">
        <v>8</v>
      </c>
      <c r="H313" s="2">
        <v>100000</v>
      </c>
    </row>
    <row r="314" spans="2:8" x14ac:dyDescent="0.3">
      <c r="B314" s="1">
        <v>45944</v>
      </c>
      <c r="C314">
        <v>20220013464</v>
      </c>
      <c r="D314" t="s">
        <v>85</v>
      </c>
      <c r="E314" t="s">
        <v>82</v>
      </c>
      <c r="F314" t="s">
        <v>77</v>
      </c>
      <c r="G314" t="s">
        <v>8</v>
      </c>
      <c r="H314" s="2">
        <v>100000</v>
      </c>
    </row>
    <row r="315" spans="2:8" x14ac:dyDescent="0.3">
      <c r="B315" s="1">
        <v>45944</v>
      </c>
      <c r="C315">
        <v>20220013467</v>
      </c>
      <c r="D315" t="s">
        <v>85</v>
      </c>
      <c r="E315" t="s">
        <v>80</v>
      </c>
      <c r="F315" t="s">
        <v>77</v>
      </c>
      <c r="G315" t="s">
        <v>16</v>
      </c>
      <c r="H315" s="2">
        <v>600000</v>
      </c>
    </row>
    <row r="316" spans="2:8" x14ac:dyDescent="0.3">
      <c r="B316" s="1">
        <v>45944</v>
      </c>
      <c r="C316">
        <v>20220013470</v>
      </c>
      <c r="D316" t="s">
        <v>85</v>
      </c>
      <c r="E316" t="s">
        <v>81</v>
      </c>
      <c r="F316" t="s">
        <v>77</v>
      </c>
      <c r="G316" t="s">
        <v>41</v>
      </c>
      <c r="H316" s="2">
        <v>1000000</v>
      </c>
    </row>
    <row r="317" spans="2:8" x14ac:dyDescent="0.3">
      <c r="B317" s="1">
        <v>45944</v>
      </c>
      <c r="C317">
        <v>20220013473</v>
      </c>
      <c r="D317" t="s">
        <v>85</v>
      </c>
      <c r="E317" t="s">
        <v>80</v>
      </c>
      <c r="F317" t="s">
        <v>77</v>
      </c>
      <c r="G317" t="s">
        <v>6</v>
      </c>
      <c r="H317" s="2">
        <v>100000</v>
      </c>
    </row>
    <row r="318" spans="2:8" x14ac:dyDescent="0.3">
      <c r="B318" s="1">
        <v>45944</v>
      </c>
      <c r="C318">
        <v>20220013476</v>
      </c>
      <c r="D318" t="s">
        <v>85</v>
      </c>
      <c r="E318" t="s">
        <v>80</v>
      </c>
      <c r="F318" t="s">
        <v>77</v>
      </c>
      <c r="G318" t="s">
        <v>6</v>
      </c>
      <c r="H318" s="2">
        <v>100000</v>
      </c>
    </row>
    <row r="319" spans="2:8" x14ac:dyDescent="0.3">
      <c r="B319" s="1">
        <v>45944</v>
      </c>
      <c r="C319">
        <v>20220013479</v>
      </c>
      <c r="D319" t="s">
        <v>85</v>
      </c>
      <c r="E319" t="s">
        <v>80</v>
      </c>
      <c r="F319" t="s">
        <v>77</v>
      </c>
      <c r="G319" t="s">
        <v>8</v>
      </c>
      <c r="H319" s="2">
        <v>100000</v>
      </c>
    </row>
    <row r="320" spans="2:8" x14ac:dyDescent="0.3">
      <c r="B320" s="1">
        <v>45944</v>
      </c>
      <c r="C320">
        <v>20220013482</v>
      </c>
      <c r="D320" t="s">
        <v>85</v>
      </c>
      <c r="E320" t="s">
        <v>80</v>
      </c>
      <c r="F320" t="s">
        <v>77</v>
      </c>
      <c r="G320" t="s">
        <v>8</v>
      </c>
      <c r="H320" s="2">
        <v>750000</v>
      </c>
    </row>
    <row r="321" spans="2:8" x14ac:dyDescent="0.3">
      <c r="B321" s="1">
        <v>45944</v>
      </c>
      <c r="C321">
        <v>20220013485</v>
      </c>
      <c r="D321" t="s">
        <v>85</v>
      </c>
      <c r="E321" t="s">
        <v>80</v>
      </c>
      <c r="F321" t="s">
        <v>77</v>
      </c>
      <c r="G321" t="s">
        <v>17</v>
      </c>
      <c r="H321" s="2">
        <v>100000</v>
      </c>
    </row>
    <row r="322" spans="2:8" x14ac:dyDescent="0.3">
      <c r="B322" s="1">
        <v>45944</v>
      </c>
      <c r="C322">
        <v>20220013488</v>
      </c>
      <c r="D322" t="s">
        <v>85</v>
      </c>
      <c r="E322" t="s">
        <v>80</v>
      </c>
      <c r="F322" t="s">
        <v>77</v>
      </c>
      <c r="G322" t="s">
        <v>17</v>
      </c>
      <c r="H322" s="2">
        <v>100000</v>
      </c>
    </row>
    <row r="323" spans="2:8" x14ac:dyDescent="0.3">
      <c r="B323" s="1">
        <v>45944</v>
      </c>
      <c r="C323">
        <v>20220013491</v>
      </c>
      <c r="D323" t="s">
        <v>85</v>
      </c>
      <c r="E323" t="s">
        <v>80</v>
      </c>
      <c r="F323" t="s">
        <v>77</v>
      </c>
      <c r="G323" t="s">
        <v>16</v>
      </c>
      <c r="H323" s="2">
        <v>1000000</v>
      </c>
    </row>
    <row r="324" spans="2:8" x14ac:dyDescent="0.3">
      <c r="B324" s="1">
        <v>45944</v>
      </c>
      <c r="C324">
        <v>20220013494</v>
      </c>
      <c r="D324" t="s">
        <v>85</v>
      </c>
      <c r="E324" t="s">
        <v>80</v>
      </c>
      <c r="F324" t="s">
        <v>77</v>
      </c>
      <c r="G324" t="s">
        <v>44</v>
      </c>
      <c r="H324" s="2">
        <v>750000</v>
      </c>
    </row>
    <row r="325" spans="2:8" x14ac:dyDescent="0.3">
      <c r="B325" s="1">
        <v>45944</v>
      </c>
      <c r="C325">
        <v>20220013497</v>
      </c>
      <c r="D325" t="s">
        <v>85</v>
      </c>
      <c r="E325" t="s">
        <v>80</v>
      </c>
      <c r="F325" t="s">
        <v>77</v>
      </c>
      <c r="G325" t="s">
        <v>8</v>
      </c>
      <c r="H325" s="2">
        <v>750000</v>
      </c>
    </row>
    <row r="326" spans="2:8" x14ac:dyDescent="0.3">
      <c r="B326" s="1">
        <v>45944</v>
      </c>
      <c r="C326">
        <v>20220013500</v>
      </c>
      <c r="D326" t="s">
        <v>85</v>
      </c>
      <c r="E326" t="s">
        <v>80</v>
      </c>
      <c r="F326" t="s">
        <v>77</v>
      </c>
      <c r="G326" t="s">
        <v>6</v>
      </c>
      <c r="H326" s="2">
        <v>750000</v>
      </c>
    </row>
    <row r="327" spans="2:8" x14ac:dyDescent="0.3">
      <c r="B327" s="1">
        <v>45944</v>
      </c>
      <c r="C327">
        <v>20220013503</v>
      </c>
      <c r="D327" t="s">
        <v>85</v>
      </c>
      <c r="E327" t="s">
        <v>80</v>
      </c>
      <c r="F327" t="s">
        <v>77</v>
      </c>
      <c r="G327" t="s">
        <v>44</v>
      </c>
      <c r="H327" s="2">
        <v>750000</v>
      </c>
    </row>
    <row r="328" spans="2:8" x14ac:dyDescent="0.3">
      <c r="B328" s="1">
        <v>45944</v>
      </c>
      <c r="C328">
        <v>20220013506</v>
      </c>
      <c r="D328" t="s">
        <v>85</v>
      </c>
      <c r="E328" t="s">
        <v>80</v>
      </c>
      <c r="F328" t="s">
        <v>77</v>
      </c>
      <c r="G328" t="s">
        <v>8</v>
      </c>
      <c r="H328" s="2">
        <v>100000</v>
      </c>
    </row>
    <row r="329" spans="2:8" x14ac:dyDescent="0.3">
      <c r="B329" s="1">
        <v>45944</v>
      </c>
      <c r="C329">
        <v>20220013509</v>
      </c>
      <c r="D329" t="s">
        <v>85</v>
      </c>
      <c r="E329" t="s">
        <v>80</v>
      </c>
      <c r="F329" t="s">
        <v>77</v>
      </c>
      <c r="G329" t="s">
        <v>41</v>
      </c>
      <c r="H329" s="2">
        <v>750000</v>
      </c>
    </row>
    <row r="330" spans="2:8" x14ac:dyDescent="0.3">
      <c r="B330" s="1">
        <v>45944</v>
      </c>
      <c r="C330">
        <v>20220013512</v>
      </c>
      <c r="D330" t="s">
        <v>85</v>
      </c>
      <c r="E330" t="s">
        <v>80</v>
      </c>
      <c r="F330" t="s">
        <v>77</v>
      </c>
      <c r="G330" t="s">
        <v>17</v>
      </c>
      <c r="H330" s="2">
        <v>100000</v>
      </c>
    </row>
    <row r="331" spans="2:8" x14ac:dyDescent="0.3">
      <c r="B331" s="1">
        <v>45944</v>
      </c>
      <c r="C331">
        <v>20220013515</v>
      </c>
      <c r="D331" t="s">
        <v>85</v>
      </c>
      <c r="E331" t="s">
        <v>80</v>
      </c>
      <c r="F331" t="s">
        <v>77</v>
      </c>
      <c r="G331" t="s">
        <v>17</v>
      </c>
      <c r="H331" s="2">
        <v>100000</v>
      </c>
    </row>
    <row r="332" spans="2:8" x14ac:dyDescent="0.3">
      <c r="B332" s="1">
        <v>45944</v>
      </c>
      <c r="C332">
        <v>20220013518</v>
      </c>
      <c r="D332" t="s">
        <v>85</v>
      </c>
      <c r="E332" t="s">
        <v>81</v>
      </c>
      <c r="F332" t="s">
        <v>77</v>
      </c>
      <c r="G332" t="s">
        <v>64</v>
      </c>
      <c r="H332" s="2">
        <v>2000000</v>
      </c>
    </row>
    <row r="333" spans="2:8" x14ac:dyDescent="0.3">
      <c r="B333" s="1">
        <v>45945</v>
      </c>
      <c r="C333">
        <v>20220013521</v>
      </c>
      <c r="D333" t="s">
        <v>85</v>
      </c>
      <c r="E333" t="s">
        <v>82</v>
      </c>
      <c r="F333" t="s">
        <v>77</v>
      </c>
      <c r="G333" t="s">
        <v>4</v>
      </c>
      <c r="H333" s="2">
        <v>1000000</v>
      </c>
    </row>
    <row r="334" spans="2:8" x14ac:dyDescent="0.3">
      <c r="B334" s="1">
        <v>45945</v>
      </c>
      <c r="C334">
        <v>20220013524</v>
      </c>
      <c r="D334" t="s">
        <v>85</v>
      </c>
      <c r="E334" t="s">
        <v>82</v>
      </c>
      <c r="F334" t="s">
        <v>77</v>
      </c>
      <c r="G334" t="s">
        <v>9</v>
      </c>
      <c r="H334" s="2">
        <v>100000</v>
      </c>
    </row>
    <row r="335" spans="2:8" x14ac:dyDescent="0.3">
      <c r="B335" s="1">
        <v>45945</v>
      </c>
      <c r="C335">
        <v>20220013527</v>
      </c>
      <c r="D335" t="s">
        <v>85</v>
      </c>
      <c r="E335" t="s">
        <v>82</v>
      </c>
      <c r="F335" t="s">
        <v>77</v>
      </c>
      <c r="G335" t="s">
        <v>9</v>
      </c>
      <c r="H335" s="2">
        <v>750000</v>
      </c>
    </row>
    <row r="336" spans="2:8" x14ac:dyDescent="0.3">
      <c r="B336" s="1">
        <v>45945</v>
      </c>
      <c r="C336">
        <v>20220013530</v>
      </c>
      <c r="D336" t="s">
        <v>85</v>
      </c>
      <c r="E336" t="s">
        <v>82</v>
      </c>
      <c r="F336" t="s">
        <v>77</v>
      </c>
      <c r="G336" t="s">
        <v>9</v>
      </c>
      <c r="H336" s="2">
        <v>1000000</v>
      </c>
    </row>
    <row r="337" spans="2:8" x14ac:dyDescent="0.3">
      <c r="B337" s="1">
        <v>45946</v>
      </c>
      <c r="C337">
        <v>20220013533</v>
      </c>
      <c r="D337" t="s">
        <v>85</v>
      </c>
      <c r="E337" t="s">
        <v>80</v>
      </c>
      <c r="F337" t="s">
        <v>77</v>
      </c>
      <c r="G337" t="s">
        <v>64</v>
      </c>
      <c r="H337" s="2">
        <v>1500000</v>
      </c>
    </row>
    <row r="338" spans="2:8" x14ac:dyDescent="0.3">
      <c r="B338" s="1">
        <v>45946</v>
      </c>
      <c r="C338">
        <v>20220013536</v>
      </c>
      <c r="D338" t="s">
        <v>85</v>
      </c>
      <c r="E338" t="s">
        <v>81</v>
      </c>
      <c r="F338" t="s">
        <v>77</v>
      </c>
      <c r="G338" t="s">
        <v>12</v>
      </c>
      <c r="H338" s="2">
        <v>100000</v>
      </c>
    </row>
    <row r="339" spans="2:8" x14ac:dyDescent="0.3">
      <c r="B339" s="1">
        <v>45946</v>
      </c>
      <c r="C339">
        <v>20220013539</v>
      </c>
      <c r="D339" t="s">
        <v>85</v>
      </c>
      <c r="E339" t="s">
        <v>81</v>
      </c>
      <c r="F339" t="s">
        <v>77</v>
      </c>
      <c r="G339" t="s">
        <v>12</v>
      </c>
      <c r="H339" s="2">
        <v>100000</v>
      </c>
    </row>
    <row r="340" spans="2:8" x14ac:dyDescent="0.3">
      <c r="B340" s="1">
        <v>45946</v>
      </c>
      <c r="C340">
        <v>20220013542</v>
      </c>
      <c r="D340" t="s">
        <v>85</v>
      </c>
      <c r="E340" t="s">
        <v>81</v>
      </c>
      <c r="F340" t="s">
        <v>77</v>
      </c>
      <c r="G340" t="s">
        <v>3</v>
      </c>
      <c r="H340" s="2">
        <v>100000</v>
      </c>
    </row>
    <row r="341" spans="2:8" x14ac:dyDescent="0.3">
      <c r="B341" s="1">
        <v>45946</v>
      </c>
      <c r="C341">
        <v>20220013545</v>
      </c>
      <c r="D341" t="s">
        <v>85</v>
      </c>
      <c r="E341" t="s">
        <v>81</v>
      </c>
      <c r="F341" t="s">
        <v>77</v>
      </c>
      <c r="G341" t="s">
        <v>3</v>
      </c>
      <c r="H341" s="2">
        <v>2000000</v>
      </c>
    </row>
    <row r="342" spans="2:8" x14ac:dyDescent="0.3">
      <c r="B342" s="1">
        <v>45946</v>
      </c>
      <c r="C342">
        <v>20220013548</v>
      </c>
      <c r="D342" t="s">
        <v>85</v>
      </c>
      <c r="E342" t="s">
        <v>81</v>
      </c>
      <c r="F342" t="s">
        <v>77</v>
      </c>
      <c r="G342" t="s">
        <v>12</v>
      </c>
      <c r="H342" s="2">
        <v>1000000</v>
      </c>
    </row>
    <row r="343" spans="2:8" x14ac:dyDescent="0.3">
      <c r="B343" s="1">
        <v>45946</v>
      </c>
      <c r="C343">
        <v>20220013551</v>
      </c>
      <c r="D343" t="s">
        <v>85</v>
      </c>
      <c r="E343" t="s">
        <v>81</v>
      </c>
      <c r="F343" t="s">
        <v>77</v>
      </c>
      <c r="G343" t="s">
        <v>3</v>
      </c>
      <c r="H343" s="2">
        <v>750000</v>
      </c>
    </row>
    <row r="344" spans="2:8" x14ac:dyDescent="0.3">
      <c r="B344" s="1">
        <v>45946</v>
      </c>
      <c r="C344">
        <v>20220013554</v>
      </c>
      <c r="D344" t="s">
        <v>85</v>
      </c>
      <c r="E344" t="s">
        <v>81</v>
      </c>
      <c r="F344" t="s">
        <v>77</v>
      </c>
      <c r="G344" t="s">
        <v>44</v>
      </c>
      <c r="H344" s="2">
        <v>500000</v>
      </c>
    </row>
    <row r="345" spans="2:8" x14ac:dyDescent="0.3">
      <c r="B345" s="1">
        <v>45947</v>
      </c>
      <c r="C345">
        <v>20220013557</v>
      </c>
      <c r="D345" t="s">
        <v>85</v>
      </c>
      <c r="E345" t="s">
        <v>81</v>
      </c>
      <c r="F345" t="s">
        <v>77</v>
      </c>
      <c r="G345" t="s">
        <v>14</v>
      </c>
      <c r="H345" s="2">
        <v>1000000</v>
      </c>
    </row>
    <row r="346" spans="2:8" x14ac:dyDescent="0.3">
      <c r="B346" s="1">
        <v>45947</v>
      </c>
      <c r="C346">
        <v>20220013560</v>
      </c>
      <c r="D346" t="s">
        <v>85</v>
      </c>
      <c r="E346" t="s">
        <v>82</v>
      </c>
      <c r="F346" t="s">
        <v>77</v>
      </c>
      <c r="G346" t="s">
        <v>14</v>
      </c>
      <c r="H346" s="2">
        <v>100000</v>
      </c>
    </row>
    <row r="347" spans="2:8" x14ac:dyDescent="0.3">
      <c r="B347" s="1">
        <v>45947</v>
      </c>
      <c r="C347">
        <v>20220013563</v>
      </c>
      <c r="D347" t="s">
        <v>85</v>
      </c>
      <c r="E347" t="s">
        <v>82</v>
      </c>
      <c r="F347" t="s">
        <v>77</v>
      </c>
      <c r="G347" t="s">
        <v>14</v>
      </c>
      <c r="H347" s="2">
        <v>100000</v>
      </c>
    </row>
    <row r="348" spans="2:8" x14ac:dyDescent="0.3">
      <c r="B348" s="1">
        <v>45948</v>
      </c>
      <c r="C348">
        <v>20220013566</v>
      </c>
      <c r="D348" t="s">
        <v>85</v>
      </c>
      <c r="E348" t="s">
        <v>82</v>
      </c>
      <c r="F348" t="s">
        <v>77</v>
      </c>
      <c r="G348" t="s">
        <v>13</v>
      </c>
      <c r="H348" s="2">
        <v>100000</v>
      </c>
    </row>
    <row r="349" spans="2:8" x14ac:dyDescent="0.3">
      <c r="B349" s="1">
        <v>45948</v>
      </c>
      <c r="C349">
        <v>20220013569</v>
      </c>
      <c r="D349" t="s">
        <v>85</v>
      </c>
      <c r="E349" t="s">
        <v>82</v>
      </c>
      <c r="F349" t="s">
        <v>77</v>
      </c>
      <c r="G349" t="s">
        <v>13</v>
      </c>
      <c r="H349" s="2">
        <v>1500000</v>
      </c>
    </row>
    <row r="350" spans="2:8" x14ac:dyDescent="0.3">
      <c r="B350" s="1">
        <v>45948</v>
      </c>
      <c r="C350">
        <v>20220013572</v>
      </c>
      <c r="D350" t="s">
        <v>85</v>
      </c>
      <c r="E350" t="s">
        <v>82</v>
      </c>
      <c r="F350" t="s">
        <v>77</v>
      </c>
      <c r="G350" t="s">
        <v>13</v>
      </c>
      <c r="H350" s="2">
        <v>100000</v>
      </c>
    </row>
    <row r="351" spans="2:8" x14ac:dyDescent="0.3">
      <c r="B351" s="1">
        <v>45948</v>
      </c>
      <c r="C351">
        <v>20220013575</v>
      </c>
      <c r="D351" t="s">
        <v>85</v>
      </c>
      <c r="E351" t="s">
        <v>82</v>
      </c>
      <c r="F351" t="s">
        <v>77</v>
      </c>
      <c r="G351" t="s">
        <v>13</v>
      </c>
      <c r="H351" s="2">
        <v>1250000</v>
      </c>
    </row>
    <row r="352" spans="2:8" x14ac:dyDescent="0.3">
      <c r="B352" s="1">
        <v>45948</v>
      </c>
      <c r="C352">
        <v>20220013578</v>
      </c>
      <c r="D352" t="s">
        <v>85</v>
      </c>
      <c r="E352" t="s">
        <v>82</v>
      </c>
      <c r="F352" t="s">
        <v>77</v>
      </c>
      <c r="G352" t="s">
        <v>18</v>
      </c>
      <c r="H352" s="2">
        <v>350000</v>
      </c>
    </row>
    <row r="353" spans="2:8" x14ac:dyDescent="0.3">
      <c r="B353" s="1">
        <v>45948</v>
      </c>
      <c r="C353">
        <v>20220013581</v>
      </c>
      <c r="D353" t="s">
        <v>85</v>
      </c>
      <c r="E353" t="s">
        <v>81</v>
      </c>
      <c r="F353" t="s">
        <v>77</v>
      </c>
      <c r="G353" t="s">
        <v>3</v>
      </c>
      <c r="H353" s="2">
        <v>1000000</v>
      </c>
    </row>
    <row r="354" spans="2:8" x14ac:dyDescent="0.3">
      <c r="B354" s="1">
        <v>45948</v>
      </c>
      <c r="C354">
        <v>20220013584</v>
      </c>
      <c r="D354" t="s">
        <v>85</v>
      </c>
      <c r="E354" t="s">
        <v>81</v>
      </c>
      <c r="F354" t="s">
        <v>77</v>
      </c>
      <c r="G354" t="s">
        <v>13</v>
      </c>
      <c r="H354" s="2">
        <v>100000</v>
      </c>
    </row>
    <row r="355" spans="2:8" x14ac:dyDescent="0.3">
      <c r="B355" s="1">
        <v>45948</v>
      </c>
      <c r="C355">
        <v>20220013587</v>
      </c>
      <c r="D355" t="s">
        <v>85</v>
      </c>
      <c r="E355" t="s">
        <v>81</v>
      </c>
      <c r="F355" t="s">
        <v>77</v>
      </c>
      <c r="G355" t="s">
        <v>13</v>
      </c>
      <c r="H355" s="2">
        <v>100000</v>
      </c>
    </row>
    <row r="356" spans="2:8" x14ac:dyDescent="0.3">
      <c r="B356" s="1">
        <v>45948</v>
      </c>
      <c r="C356">
        <v>20220013590</v>
      </c>
      <c r="D356" t="s">
        <v>85</v>
      </c>
      <c r="E356" t="s">
        <v>81</v>
      </c>
      <c r="F356" t="s">
        <v>77</v>
      </c>
      <c r="G356" t="s">
        <v>13</v>
      </c>
      <c r="H356" s="2">
        <v>750000</v>
      </c>
    </row>
    <row r="357" spans="2:8" x14ac:dyDescent="0.3">
      <c r="B357" s="1">
        <v>45948</v>
      </c>
      <c r="C357">
        <v>20220013593</v>
      </c>
      <c r="D357" t="s">
        <v>85</v>
      </c>
      <c r="E357" t="s">
        <v>81</v>
      </c>
      <c r="F357" t="s">
        <v>77</v>
      </c>
      <c r="G357" t="s">
        <v>13</v>
      </c>
      <c r="H357" s="2">
        <v>750000</v>
      </c>
    </row>
    <row r="358" spans="2:8" x14ac:dyDescent="0.3">
      <c r="B358" s="1">
        <v>45948</v>
      </c>
      <c r="C358">
        <v>20220013596</v>
      </c>
      <c r="D358" t="s">
        <v>85</v>
      </c>
      <c r="E358" t="s">
        <v>81</v>
      </c>
      <c r="F358" t="s">
        <v>77</v>
      </c>
      <c r="G358" t="s">
        <v>18</v>
      </c>
      <c r="H358" s="2">
        <v>1000000</v>
      </c>
    </row>
    <row r="359" spans="2:8" x14ac:dyDescent="0.3">
      <c r="B359" s="1">
        <v>45948</v>
      </c>
      <c r="C359">
        <v>20220013599</v>
      </c>
      <c r="D359" t="s">
        <v>85</v>
      </c>
      <c r="E359" t="s">
        <v>81</v>
      </c>
      <c r="F359" t="s">
        <v>77</v>
      </c>
      <c r="G359" t="s">
        <v>3</v>
      </c>
      <c r="H359" s="2">
        <v>100000</v>
      </c>
    </row>
    <row r="360" spans="2:8" x14ac:dyDescent="0.3">
      <c r="B360" s="1">
        <v>45948</v>
      </c>
      <c r="C360">
        <v>20220013602</v>
      </c>
      <c r="D360" t="s">
        <v>85</v>
      </c>
      <c r="E360" t="s">
        <v>81</v>
      </c>
      <c r="F360" t="s">
        <v>77</v>
      </c>
      <c r="G360" t="s">
        <v>3</v>
      </c>
      <c r="H360" s="2">
        <v>100000</v>
      </c>
    </row>
    <row r="361" spans="2:8" x14ac:dyDescent="0.3">
      <c r="B361" s="1">
        <v>45948</v>
      </c>
      <c r="C361">
        <v>20220013605</v>
      </c>
      <c r="D361" t="s">
        <v>85</v>
      </c>
      <c r="E361" t="s">
        <v>80</v>
      </c>
      <c r="F361" t="s">
        <v>77</v>
      </c>
      <c r="G361" t="s">
        <v>13</v>
      </c>
      <c r="H361" s="2">
        <v>1000000</v>
      </c>
    </row>
    <row r="362" spans="2:8" x14ac:dyDescent="0.3">
      <c r="B362" s="1">
        <v>45948</v>
      </c>
      <c r="C362">
        <v>20220013608</v>
      </c>
      <c r="D362" t="s">
        <v>85</v>
      </c>
      <c r="E362" t="s">
        <v>80</v>
      </c>
      <c r="F362" t="s">
        <v>77</v>
      </c>
      <c r="G362" t="s">
        <v>13</v>
      </c>
      <c r="H362" s="2">
        <v>250000</v>
      </c>
    </row>
    <row r="363" spans="2:8" x14ac:dyDescent="0.3">
      <c r="B363" s="1">
        <v>45948</v>
      </c>
      <c r="C363">
        <v>20220013611</v>
      </c>
      <c r="D363" t="s">
        <v>85</v>
      </c>
      <c r="E363" t="s">
        <v>80</v>
      </c>
      <c r="F363" t="s">
        <v>77</v>
      </c>
      <c r="G363" t="s">
        <v>18</v>
      </c>
      <c r="H363" s="2">
        <v>1250000</v>
      </c>
    </row>
    <row r="364" spans="2:8" x14ac:dyDescent="0.3">
      <c r="B364" s="1">
        <v>45948</v>
      </c>
      <c r="C364">
        <v>20220013614</v>
      </c>
      <c r="D364" t="s">
        <v>85</v>
      </c>
      <c r="E364" t="s">
        <v>80</v>
      </c>
      <c r="F364" t="s">
        <v>77</v>
      </c>
      <c r="G364" t="s">
        <v>18</v>
      </c>
      <c r="H364" s="2">
        <v>100000</v>
      </c>
    </row>
    <row r="365" spans="2:8" x14ac:dyDescent="0.3">
      <c r="B365" s="1">
        <v>45948</v>
      </c>
      <c r="C365">
        <v>20220013617</v>
      </c>
      <c r="D365" t="s">
        <v>85</v>
      </c>
      <c r="E365" t="s">
        <v>81</v>
      </c>
      <c r="F365" t="s">
        <v>77</v>
      </c>
      <c r="G365" t="s">
        <v>3</v>
      </c>
      <c r="H365" s="2">
        <v>1000000</v>
      </c>
    </row>
    <row r="366" spans="2:8" x14ac:dyDescent="0.3">
      <c r="B366" s="1">
        <v>45948</v>
      </c>
      <c r="C366">
        <v>20220013620</v>
      </c>
      <c r="D366" t="s">
        <v>85</v>
      </c>
      <c r="E366" t="s">
        <v>80</v>
      </c>
      <c r="F366" t="s">
        <v>77</v>
      </c>
      <c r="G366" t="s">
        <v>60</v>
      </c>
      <c r="H366" s="2">
        <v>100000</v>
      </c>
    </row>
    <row r="367" spans="2:8" x14ac:dyDescent="0.3">
      <c r="B367" s="1">
        <v>45948</v>
      </c>
      <c r="C367">
        <v>20220013623</v>
      </c>
      <c r="D367" t="s">
        <v>85</v>
      </c>
      <c r="E367" t="s">
        <v>80</v>
      </c>
      <c r="F367" t="s">
        <v>77</v>
      </c>
      <c r="G367" t="s">
        <v>60</v>
      </c>
      <c r="H367" s="2">
        <v>800000</v>
      </c>
    </row>
    <row r="368" spans="2:8" x14ac:dyDescent="0.3">
      <c r="B368" s="1">
        <v>45948</v>
      </c>
      <c r="C368">
        <v>20220013626</v>
      </c>
      <c r="D368" t="s">
        <v>85</v>
      </c>
      <c r="E368" t="s">
        <v>80</v>
      </c>
      <c r="F368" t="s">
        <v>77</v>
      </c>
      <c r="G368" t="s">
        <v>60</v>
      </c>
      <c r="H368" s="2">
        <v>600000</v>
      </c>
    </row>
    <row r="369" spans="2:8" x14ac:dyDescent="0.3">
      <c r="B369" s="1">
        <v>45949</v>
      </c>
      <c r="C369">
        <v>20220013629</v>
      </c>
      <c r="D369" t="s">
        <v>85</v>
      </c>
      <c r="E369" t="s">
        <v>80</v>
      </c>
      <c r="F369" t="s">
        <v>77</v>
      </c>
      <c r="G369" t="s">
        <v>48</v>
      </c>
      <c r="H369" s="2">
        <v>100000</v>
      </c>
    </row>
    <row r="370" spans="2:8" x14ac:dyDescent="0.3">
      <c r="B370" s="1">
        <v>45949</v>
      </c>
      <c r="C370">
        <v>20220013632</v>
      </c>
      <c r="D370" t="s">
        <v>85</v>
      </c>
      <c r="E370" t="s">
        <v>80</v>
      </c>
      <c r="F370" t="s">
        <v>77</v>
      </c>
      <c r="G370" t="s">
        <v>8</v>
      </c>
      <c r="H370" s="2">
        <v>100000</v>
      </c>
    </row>
    <row r="371" spans="2:8" x14ac:dyDescent="0.3">
      <c r="B371" s="1">
        <v>45949</v>
      </c>
      <c r="C371">
        <v>20220013635</v>
      </c>
      <c r="D371" t="s">
        <v>85</v>
      </c>
      <c r="E371" t="s">
        <v>81</v>
      </c>
      <c r="F371" t="s">
        <v>77</v>
      </c>
      <c r="G371" t="s">
        <v>18</v>
      </c>
      <c r="H371" s="2">
        <v>1000000</v>
      </c>
    </row>
    <row r="372" spans="2:8" x14ac:dyDescent="0.3">
      <c r="B372" s="1">
        <v>45949</v>
      </c>
      <c r="C372">
        <v>20220013638</v>
      </c>
      <c r="D372" t="s">
        <v>85</v>
      </c>
      <c r="E372" t="s">
        <v>80</v>
      </c>
      <c r="F372" t="s">
        <v>77</v>
      </c>
      <c r="G372" t="s">
        <v>8</v>
      </c>
      <c r="H372" s="2">
        <v>750000</v>
      </c>
    </row>
    <row r="373" spans="2:8" x14ac:dyDescent="0.3">
      <c r="B373" s="1">
        <v>45949</v>
      </c>
      <c r="C373">
        <v>20220013641</v>
      </c>
      <c r="D373" t="s">
        <v>85</v>
      </c>
      <c r="E373" t="s">
        <v>80</v>
      </c>
      <c r="F373" t="s">
        <v>77</v>
      </c>
      <c r="G373" t="s">
        <v>8</v>
      </c>
      <c r="H373" s="2">
        <v>750000</v>
      </c>
    </row>
    <row r="374" spans="2:8" x14ac:dyDescent="0.3">
      <c r="B374" s="1">
        <v>45949</v>
      </c>
      <c r="C374">
        <v>20220013644</v>
      </c>
      <c r="D374" t="s">
        <v>85</v>
      </c>
      <c r="E374" t="s">
        <v>80</v>
      </c>
      <c r="F374" t="s">
        <v>77</v>
      </c>
      <c r="G374" t="s">
        <v>18</v>
      </c>
      <c r="H374" s="2">
        <v>750000</v>
      </c>
    </row>
    <row r="375" spans="2:8" x14ac:dyDescent="0.3">
      <c r="B375" s="1">
        <v>45949</v>
      </c>
      <c r="C375">
        <v>20220013647</v>
      </c>
      <c r="D375" t="s">
        <v>85</v>
      </c>
      <c r="E375" t="s">
        <v>81</v>
      </c>
      <c r="F375" t="s">
        <v>77</v>
      </c>
      <c r="G375" t="s">
        <v>48</v>
      </c>
      <c r="H375" s="2">
        <v>950000</v>
      </c>
    </row>
    <row r="376" spans="2:8" x14ac:dyDescent="0.3">
      <c r="B376" s="1">
        <v>45949</v>
      </c>
      <c r="C376">
        <v>20220013650</v>
      </c>
      <c r="D376" t="s">
        <v>85</v>
      </c>
      <c r="E376" t="s">
        <v>81</v>
      </c>
      <c r="F376" t="s">
        <v>77</v>
      </c>
      <c r="G376" t="s">
        <v>8</v>
      </c>
      <c r="H376" s="2">
        <v>100000</v>
      </c>
    </row>
    <row r="377" spans="2:8" x14ac:dyDescent="0.3">
      <c r="B377" s="1">
        <v>45949</v>
      </c>
      <c r="C377">
        <v>20220013653</v>
      </c>
      <c r="D377" t="s">
        <v>85</v>
      </c>
      <c r="E377" t="s">
        <v>80</v>
      </c>
      <c r="F377" t="s">
        <v>77</v>
      </c>
      <c r="G377" t="s">
        <v>18</v>
      </c>
      <c r="H377" s="2">
        <v>750000</v>
      </c>
    </row>
    <row r="378" spans="2:8" x14ac:dyDescent="0.3">
      <c r="B378" s="1">
        <v>45949</v>
      </c>
      <c r="C378">
        <v>20220013656</v>
      </c>
      <c r="D378" t="s">
        <v>85</v>
      </c>
      <c r="E378" t="s">
        <v>80</v>
      </c>
      <c r="F378" t="s">
        <v>77</v>
      </c>
      <c r="G378" t="s">
        <v>18</v>
      </c>
      <c r="H378" s="2">
        <v>750000</v>
      </c>
    </row>
    <row r="379" spans="2:8" x14ac:dyDescent="0.3">
      <c r="B379" s="1">
        <v>45949</v>
      </c>
      <c r="C379">
        <v>20220013659</v>
      </c>
      <c r="D379" t="s">
        <v>85</v>
      </c>
      <c r="E379" t="s">
        <v>80</v>
      </c>
      <c r="F379" t="s">
        <v>77</v>
      </c>
      <c r="G379" t="s">
        <v>60</v>
      </c>
      <c r="H379" s="2">
        <v>100000</v>
      </c>
    </row>
    <row r="380" spans="2:8" x14ac:dyDescent="0.3">
      <c r="B380" s="1">
        <v>45949</v>
      </c>
      <c r="C380">
        <v>20220013662</v>
      </c>
      <c r="D380" t="s">
        <v>85</v>
      </c>
      <c r="E380" t="s">
        <v>80</v>
      </c>
      <c r="F380" t="s">
        <v>77</v>
      </c>
      <c r="G380" t="s">
        <v>60</v>
      </c>
      <c r="H380" s="2">
        <v>100000</v>
      </c>
    </row>
    <row r="381" spans="2:8" x14ac:dyDescent="0.3">
      <c r="B381" s="1">
        <v>45949</v>
      </c>
      <c r="C381">
        <v>20220013665</v>
      </c>
      <c r="D381" t="s">
        <v>85</v>
      </c>
      <c r="E381" t="s">
        <v>80</v>
      </c>
      <c r="F381" t="s">
        <v>77</v>
      </c>
      <c r="G381" t="s">
        <v>60</v>
      </c>
      <c r="H381" s="2">
        <v>600000</v>
      </c>
    </row>
    <row r="382" spans="2:8" x14ac:dyDescent="0.3">
      <c r="B382" s="1">
        <v>45949</v>
      </c>
      <c r="C382">
        <v>20220013668</v>
      </c>
      <c r="D382" t="s">
        <v>85</v>
      </c>
      <c r="E382" t="s">
        <v>80</v>
      </c>
      <c r="F382" t="s">
        <v>77</v>
      </c>
      <c r="G382" t="s">
        <v>60</v>
      </c>
      <c r="H382" s="2">
        <v>750000</v>
      </c>
    </row>
    <row r="383" spans="2:8" x14ac:dyDescent="0.3">
      <c r="B383" s="1">
        <v>45950</v>
      </c>
      <c r="C383">
        <v>20220013671</v>
      </c>
      <c r="D383" t="s">
        <v>85</v>
      </c>
      <c r="E383" t="s">
        <v>81</v>
      </c>
      <c r="F383" t="s">
        <v>77</v>
      </c>
      <c r="G383" t="s">
        <v>9</v>
      </c>
      <c r="H383" s="2">
        <v>100000</v>
      </c>
    </row>
    <row r="384" spans="2:8" x14ac:dyDescent="0.3">
      <c r="B384" s="1">
        <v>45950</v>
      </c>
      <c r="C384">
        <v>20220013674</v>
      </c>
      <c r="D384" t="s">
        <v>85</v>
      </c>
      <c r="E384" t="s">
        <v>81</v>
      </c>
      <c r="F384" t="s">
        <v>77</v>
      </c>
      <c r="G384" t="s">
        <v>9</v>
      </c>
      <c r="H384" s="2">
        <v>100000</v>
      </c>
    </row>
    <row r="385" spans="2:8" x14ac:dyDescent="0.3">
      <c r="B385" s="1">
        <v>45950</v>
      </c>
      <c r="C385">
        <v>20220013677</v>
      </c>
      <c r="D385" t="s">
        <v>85</v>
      </c>
      <c r="E385" t="s">
        <v>80</v>
      </c>
      <c r="F385" t="s">
        <v>77</v>
      </c>
      <c r="G385" t="s">
        <v>9</v>
      </c>
      <c r="H385" s="2">
        <v>1500000</v>
      </c>
    </row>
    <row r="386" spans="2:8" x14ac:dyDescent="0.3">
      <c r="B386" s="1">
        <v>45950</v>
      </c>
      <c r="C386">
        <v>20220013680</v>
      </c>
      <c r="D386" t="s">
        <v>85</v>
      </c>
      <c r="E386" t="s">
        <v>80</v>
      </c>
      <c r="F386" t="s">
        <v>77</v>
      </c>
      <c r="G386" t="s">
        <v>9</v>
      </c>
      <c r="H386" s="2">
        <v>100000</v>
      </c>
    </row>
    <row r="387" spans="2:8" x14ac:dyDescent="0.3">
      <c r="B387" s="1">
        <v>45950</v>
      </c>
      <c r="C387">
        <v>20220013683</v>
      </c>
      <c r="D387" t="s">
        <v>85</v>
      </c>
      <c r="E387" t="s">
        <v>80</v>
      </c>
      <c r="F387" t="s">
        <v>77</v>
      </c>
      <c r="G387" t="s">
        <v>9</v>
      </c>
      <c r="H387" s="2">
        <v>100000</v>
      </c>
    </row>
    <row r="388" spans="2:8" x14ac:dyDescent="0.3">
      <c r="B388" s="1">
        <v>45932</v>
      </c>
      <c r="C388">
        <v>20220012603</v>
      </c>
      <c r="D388" t="s">
        <v>85</v>
      </c>
      <c r="E388" t="s">
        <v>80</v>
      </c>
      <c r="F388" t="s">
        <v>77</v>
      </c>
      <c r="G388" t="s">
        <v>5</v>
      </c>
      <c r="H388" s="2">
        <v>1100000</v>
      </c>
    </row>
    <row r="389" spans="2:8" x14ac:dyDescent="0.3">
      <c r="B389" s="1">
        <v>45950</v>
      </c>
      <c r="C389">
        <v>20220013686</v>
      </c>
      <c r="D389" t="s">
        <v>85</v>
      </c>
      <c r="E389" t="s">
        <v>80</v>
      </c>
      <c r="F389" t="s">
        <v>77</v>
      </c>
      <c r="G389" t="s">
        <v>60</v>
      </c>
      <c r="H389" s="2">
        <v>1250000</v>
      </c>
    </row>
    <row r="390" spans="2:8" x14ac:dyDescent="0.3">
      <c r="B390" s="1">
        <v>45950</v>
      </c>
      <c r="C390">
        <v>20220013689</v>
      </c>
      <c r="D390" t="s">
        <v>85</v>
      </c>
      <c r="E390" t="s">
        <v>80</v>
      </c>
      <c r="F390" t="s">
        <v>77</v>
      </c>
      <c r="G390" t="s">
        <v>60</v>
      </c>
      <c r="H390" s="2">
        <v>800000</v>
      </c>
    </row>
    <row r="391" spans="2:8" x14ac:dyDescent="0.3">
      <c r="B391" s="1">
        <v>45950</v>
      </c>
      <c r="C391">
        <v>20220013692</v>
      </c>
      <c r="D391" t="s">
        <v>85</v>
      </c>
      <c r="E391" t="s">
        <v>81</v>
      </c>
      <c r="F391" t="s">
        <v>77</v>
      </c>
      <c r="G391" t="s">
        <v>9</v>
      </c>
      <c r="H391" s="2">
        <v>100000</v>
      </c>
    </row>
    <row r="392" spans="2:8" x14ac:dyDescent="0.3">
      <c r="B392" s="1">
        <v>45950</v>
      </c>
      <c r="C392">
        <v>20220013695</v>
      </c>
      <c r="D392" t="s">
        <v>85</v>
      </c>
      <c r="E392" t="s">
        <v>81</v>
      </c>
      <c r="F392" t="s">
        <v>77</v>
      </c>
      <c r="G392" t="s">
        <v>9</v>
      </c>
      <c r="H392" s="2">
        <v>100000</v>
      </c>
    </row>
    <row r="393" spans="2:8" x14ac:dyDescent="0.3">
      <c r="B393" s="1">
        <v>45950</v>
      </c>
      <c r="C393">
        <v>20220013698</v>
      </c>
      <c r="D393" t="s">
        <v>85</v>
      </c>
      <c r="E393" t="s">
        <v>80</v>
      </c>
      <c r="F393" t="s">
        <v>77</v>
      </c>
      <c r="G393" t="s">
        <v>9</v>
      </c>
      <c r="H393" s="2">
        <v>350000</v>
      </c>
    </row>
    <row r="394" spans="2:8" x14ac:dyDescent="0.3">
      <c r="B394" s="1">
        <v>45950</v>
      </c>
      <c r="C394">
        <v>20220013701</v>
      </c>
      <c r="D394" t="s">
        <v>85</v>
      </c>
      <c r="E394" t="s">
        <v>80</v>
      </c>
      <c r="F394" t="s">
        <v>77</v>
      </c>
      <c r="G394" t="s">
        <v>9</v>
      </c>
      <c r="H394" s="2">
        <v>750000</v>
      </c>
    </row>
    <row r="395" spans="2:8" x14ac:dyDescent="0.3">
      <c r="B395" s="1">
        <v>45950</v>
      </c>
      <c r="C395">
        <v>20220013704</v>
      </c>
      <c r="D395" t="s">
        <v>85</v>
      </c>
      <c r="E395" t="s">
        <v>81</v>
      </c>
      <c r="F395" t="s">
        <v>77</v>
      </c>
      <c r="G395" t="s">
        <v>60</v>
      </c>
      <c r="H395" s="2">
        <v>100000</v>
      </c>
    </row>
    <row r="396" spans="2:8" x14ac:dyDescent="0.3">
      <c r="B396" s="1">
        <v>45950</v>
      </c>
      <c r="C396">
        <v>20220013707</v>
      </c>
      <c r="D396" t="s">
        <v>85</v>
      </c>
      <c r="E396" t="s">
        <v>81</v>
      </c>
      <c r="F396" t="s">
        <v>77</v>
      </c>
      <c r="G396" t="s">
        <v>60</v>
      </c>
      <c r="H396" s="2">
        <v>100000</v>
      </c>
    </row>
    <row r="397" spans="2:8" x14ac:dyDescent="0.3">
      <c r="B397" s="1">
        <v>45950</v>
      </c>
      <c r="C397">
        <v>20220013710</v>
      </c>
      <c r="D397" t="s">
        <v>85</v>
      </c>
      <c r="E397" t="s">
        <v>81</v>
      </c>
      <c r="F397" t="s">
        <v>77</v>
      </c>
      <c r="G397" t="s">
        <v>56</v>
      </c>
      <c r="H397" s="2">
        <v>300000</v>
      </c>
    </row>
    <row r="398" spans="2:8" x14ac:dyDescent="0.3">
      <c r="B398" s="1">
        <v>45951</v>
      </c>
      <c r="C398">
        <v>20220013713</v>
      </c>
      <c r="D398" t="s">
        <v>85</v>
      </c>
      <c r="E398" t="s">
        <v>80</v>
      </c>
      <c r="F398" t="s">
        <v>77</v>
      </c>
      <c r="G398" t="s">
        <v>4</v>
      </c>
      <c r="H398" s="2">
        <v>600000</v>
      </c>
    </row>
    <row r="399" spans="2:8" x14ac:dyDescent="0.3">
      <c r="B399" s="1">
        <v>45951</v>
      </c>
      <c r="C399">
        <v>20220013716</v>
      </c>
      <c r="D399" t="s">
        <v>85</v>
      </c>
      <c r="E399" t="s">
        <v>80</v>
      </c>
      <c r="F399" t="s">
        <v>77</v>
      </c>
      <c r="G399" t="s">
        <v>8</v>
      </c>
      <c r="H399" s="2">
        <v>1250000</v>
      </c>
    </row>
    <row r="400" spans="2:8" x14ac:dyDescent="0.3">
      <c r="B400" s="1">
        <v>45951</v>
      </c>
      <c r="C400">
        <v>20220013719</v>
      </c>
      <c r="D400" t="s">
        <v>85</v>
      </c>
      <c r="E400" t="s">
        <v>80</v>
      </c>
      <c r="F400" t="s">
        <v>77</v>
      </c>
      <c r="G400" t="s">
        <v>8</v>
      </c>
      <c r="H400" s="2">
        <v>100000</v>
      </c>
    </row>
    <row r="401" spans="2:8" x14ac:dyDescent="0.3">
      <c r="B401" s="1">
        <v>45951</v>
      </c>
      <c r="C401">
        <v>20220013722</v>
      </c>
      <c r="D401" t="s">
        <v>85</v>
      </c>
      <c r="E401" t="s">
        <v>80</v>
      </c>
      <c r="F401" t="s">
        <v>77</v>
      </c>
      <c r="G401" t="s">
        <v>64</v>
      </c>
      <c r="H401" s="2">
        <v>2000000</v>
      </c>
    </row>
    <row r="402" spans="2:8" x14ac:dyDescent="0.3">
      <c r="B402" s="1">
        <v>45951</v>
      </c>
      <c r="C402">
        <v>20220013725</v>
      </c>
      <c r="D402" t="s">
        <v>85</v>
      </c>
      <c r="E402" t="s">
        <v>81</v>
      </c>
      <c r="F402" t="s">
        <v>77</v>
      </c>
      <c r="G402" t="s">
        <v>8</v>
      </c>
      <c r="H402" s="2">
        <v>100000</v>
      </c>
    </row>
    <row r="403" spans="2:8" x14ac:dyDescent="0.3">
      <c r="B403" s="1">
        <v>45951</v>
      </c>
      <c r="C403">
        <v>20220013728</v>
      </c>
      <c r="D403" t="s">
        <v>85</v>
      </c>
      <c r="E403" t="s">
        <v>81</v>
      </c>
      <c r="F403" t="s">
        <v>77</v>
      </c>
      <c r="G403" t="s">
        <v>44</v>
      </c>
      <c r="H403" s="2">
        <v>100000</v>
      </c>
    </row>
    <row r="404" spans="2:8" x14ac:dyDescent="0.3">
      <c r="B404" s="1">
        <v>45951</v>
      </c>
      <c r="C404">
        <v>20220013731</v>
      </c>
      <c r="D404" t="s">
        <v>85</v>
      </c>
      <c r="E404" t="s">
        <v>80</v>
      </c>
      <c r="F404" t="s">
        <v>77</v>
      </c>
      <c r="G404" t="s">
        <v>60</v>
      </c>
      <c r="H404" s="2">
        <v>100000</v>
      </c>
    </row>
    <row r="405" spans="2:8" x14ac:dyDescent="0.3">
      <c r="B405" s="1">
        <v>45951</v>
      </c>
      <c r="C405">
        <v>20220013734</v>
      </c>
      <c r="D405" t="s">
        <v>85</v>
      </c>
      <c r="E405" t="s">
        <v>80</v>
      </c>
      <c r="F405" t="s">
        <v>77</v>
      </c>
      <c r="G405" t="s">
        <v>60</v>
      </c>
      <c r="H405" s="2">
        <v>1250000</v>
      </c>
    </row>
    <row r="406" spans="2:8" x14ac:dyDescent="0.3">
      <c r="B406" s="1">
        <v>45951</v>
      </c>
      <c r="C406">
        <v>20220013737</v>
      </c>
      <c r="D406" t="s">
        <v>85</v>
      </c>
      <c r="E406" t="s">
        <v>80</v>
      </c>
      <c r="F406" t="s">
        <v>77</v>
      </c>
      <c r="G406" t="s">
        <v>8</v>
      </c>
      <c r="H406" s="2">
        <v>750000</v>
      </c>
    </row>
    <row r="407" spans="2:8" x14ac:dyDescent="0.3">
      <c r="B407" s="1">
        <v>45951</v>
      </c>
      <c r="C407">
        <v>20220013740</v>
      </c>
      <c r="D407" t="s">
        <v>85</v>
      </c>
      <c r="E407" t="s">
        <v>80</v>
      </c>
      <c r="F407" t="s">
        <v>77</v>
      </c>
      <c r="G407" t="s">
        <v>8</v>
      </c>
      <c r="H407" s="2">
        <v>750000</v>
      </c>
    </row>
    <row r="408" spans="2:8" x14ac:dyDescent="0.3">
      <c r="B408" s="1">
        <v>45951</v>
      </c>
      <c r="C408">
        <v>20220013743</v>
      </c>
      <c r="D408" t="s">
        <v>85</v>
      </c>
      <c r="E408" t="s">
        <v>81</v>
      </c>
      <c r="F408" t="s">
        <v>77</v>
      </c>
      <c r="G408" t="s">
        <v>48</v>
      </c>
      <c r="H408" s="2">
        <v>250000</v>
      </c>
    </row>
    <row r="409" spans="2:8" x14ac:dyDescent="0.3">
      <c r="B409" s="1">
        <v>45951</v>
      </c>
      <c r="C409">
        <v>20220013746</v>
      </c>
      <c r="D409" t="s">
        <v>85</v>
      </c>
      <c r="E409" t="s">
        <v>80</v>
      </c>
      <c r="F409" t="s">
        <v>77</v>
      </c>
      <c r="G409" t="s">
        <v>8</v>
      </c>
      <c r="H409" s="2">
        <v>1000000</v>
      </c>
    </row>
    <row r="410" spans="2:8" x14ac:dyDescent="0.3">
      <c r="B410" s="1">
        <v>45951</v>
      </c>
      <c r="C410">
        <v>20220013749</v>
      </c>
      <c r="D410" t="s">
        <v>85</v>
      </c>
      <c r="E410" t="s">
        <v>80</v>
      </c>
      <c r="F410" t="s">
        <v>77</v>
      </c>
      <c r="G410" t="s">
        <v>60</v>
      </c>
      <c r="H410" s="2">
        <v>100000</v>
      </c>
    </row>
    <row r="411" spans="2:8" x14ac:dyDescent="0.3">
      <c r="B411" s="1">
        <v>45951</v>
      </c>
      <c r="C411">
        <v>20220013752</v>
      </c>
      <c r="D411" t="s">
        <v>85</v>
      </c>
      <c r="E411" t="s">
        <v>80</v>
      </c>
      <c r="F411" t="s">
        <v>77</v>
      </c>
      <c r="G411" t="s">
        <v>60</v>
      </c>
      <c r="H411" s="2">
        <v>100000</v>
      </c>
    </row>
    <row r="412" spans="2:8" x14ac:dyDescent="0.3">
      <c r="B412" s="1">
        <v>45952</v>
      </c>
      <c r="C412">
        <v>20220013755</v>
      </c>
      <c r="D412" t="s">
        <v>85</v>
      </c>
      <c r="E412" t="s">
        <v>80</v>
      </c>
      <c r="F412" t="s">
        <v>77</v>
      </c>
      <c r="G412" t="s">
        <v>8</v>
      </c>
      <c r="H412" s="2">
        <v>1200000</v>
      </c>
    </row>
    <row r="413" spans="2:8" x14ac:dyDescent="0.3">
      <c r="B413" s="1">
        <v>45952</v>
      </c>
      <c r="C413">
        <v>20220013758</v>
      </c>
      <c r="D413" t="s">
        <v>85</v>
      </c>
      <c r="E413" t="s">
        <v>80</v>
      </c>
      <c r="F413" t="s">
        <v>77</v>
      </c>
      <c r="G413" t="s">
        <v>8</v>
      </c>
      <c r="H413" s="2">
        <v>100000</v>
      </c>
    </row>
    <row r="414" spans="2:8" x14ac:dyDescent="0.3">
      <c r="B414" s="1">
        <v>45952</v>
      </c>
      <c r="C414">
        <v>20220013761</v>
      </c>
      <c r="D414" t="s">
        <v>85</v>
      </c>
      <c r="E414" t="s">
        <v>80</v>
      </c>
      <c r="F414" t="s">
        <v>77</v>
      </c>
      <c r="G414" t="s">
        <v>12</v>
      </c>
      <c r="H414" s="2">
        <v>100000</v>
      </c>
    </row>
    <row r="415" spans="2:8" x14ac:dyDescent="0.3">
      <c r="B415" s="1">
        <v>45952</v>
      </c>
      <c r="C415">
        <v>20220013764</v>
      </c>
      <c r="D415" t="s">
        <v>85</v>
      </c>
      <c r="E415" t="s">
        <v>80</v>
      </c>
      <c r="F415" t="s">
        <v>77</v>
      </c>
      <c r="G415" t="s">
        <v>12</v>
      </c>
      <c r="H415" s="2">
        <v>100000</v>
      </c>
    </row>
    <row r="416" spans="2:8" x14ac:dyDescent="0.3">
      <c r="B416" s="1">
        <v>45952</v>
      </c>
      <c r="C416">
        <v>20220013767</v>
      </c>
      <c r="D416" t="s">
        <v>85</v>
      </c>
      <c r="E416" t="s">
        <v>81</v>
      </c>
      <c r="F416" t="s">
        <v>77</v>
      </c>
      <c r="G416" t="s">
        <v>14</v>
      </c>
      <c r="H416" s="2">
        <v>800000</v>
      </c>
    </row>
    <row r="417" spans="2:8" x14ac:dyDescent="0.3">
      <c r="B417" s="1">
        <v>45952</v>
      </c>
      <c r="C417">
        <v>20220013770</v>
      </c>
      <c r="D417" t="s">
        <v>85</v>
      </c>
      <c r="E417" t="s">
        <v>80</v>
      </c>
      <c r="F417" t="s">
        <v>77</v>
      </c>
      <c r="G417" t="s">
        <v>44</v>
      </c>
      <c r="H417" s="2">
        <v>1250000</v>
      </c>
    </row>
    <row r="418" spans="2:8" x14ac:dyDescent="0.3">
      <c r="B418" s="1">
        <v>45952</v>
      </c>
      <c r="C418">
        <v>20220013773</v>
      </c>
      <c r="D418" t="s">
        <v>85</v>
      </c>
      <c r="E418" t="s">
        <v>80</v>
      </c>
      <c r="F418" t="s">
        <v>77</v>
      </c>
      <c r="G418" t="s">
        <v>48</v>
      </c>
      <c r="H418" s="2">
        <v>750000</v>
      </c>
    </row>
    <row r="419" spans="2:8" x14ac:dyDescent="0.3">
      <c r="B419" s="1">
        <v>45952</v>
      </c>
      <c r="C419">
        <v>20220013776</v>
      </c>
      <c r="D419" t="s">
        <v>85</v>
      </c>
      <c r="E419" t="s">
        <v>80</v>
      </c>
      <c r="F419" t="s">
        <v>77</v>
      </c>
      <c r="G419" t="s">
        <v>12</v>
      </c>
      <c r="H419" s="2">
        <v>100000</v>
      </c>
    </row>
    <row r="420" spans="2:8" x14ac:dyDescent="0.3">
      <c r="B420" s="1">
        <v>45952</v>
      </c>
      <c r="C420">
        <v>20220013779</v>
      </c>
      <c r="D420" t="s">
        <v>85</v>
      </c>
      <c r="E420" t="s">
        <v>80</v>
      </c>
      <c r="F420" t="s">
        <v>77</v>
      </c>
      <c r="G420" t="s">
        <v>12</v>
      </c>
      <c r="H420" s="2">
        <v>100000</v>
      </c>
    </row>
    <row r="421" spans="2:8" x14ac:dyDescent="0.3">
      <c r="B421" s="1">
        <v>45952</v>
      </c>
      <c r="C421">
        <v>20220013782</v>
      </c>
      <c r="D421" t="s">
        <v>85</v>
      </c>
      <c r="E421" t="s">
        <v>80</v>
      </c>
      <c r="F421" t="s">
        <v>77</v>
      </c>
      <c r="G421" t="s">
        <v>14</v>
      </c>
      <c r="H421" s="2">
        <v>750000</v>
      </c>
    </row>
    <row r="422" spans="2:8" x14ac:dyDescent="0.3">
      <c r="B422" s="1">
        <v>45952</v>
      </c>
      <c r="C422">
        <v>20220013785</v>
      </c>
      <c r="D422" t="s">
        <v>85</v>
      </c>
      <c r="E422" t="s">
        <v>80</v>
      </c>
      <c r="F422" t="s">
        <v>77</v>
      </c>
      <c r="G422" t="s">
        <v>14</v>
      </c>
      <c r="H422" s="2">
        <v>750000</v>
      </c>
    </row>
    <row r="423" spans="2:8" x14ac:dyDescent="0.3">
      <c r="B423" s="1">
        <v>45952</v>
      </c>
      <c r="C423">
        <v>20220013788</v>
      </c>
      <c r="D423" t="s">
        <v>85</v>
      </c>
      <c r="E423" t="s">
        <v>81</v>
      </c>
      <c r="F423" t="s">
        <v>77</v>
      </c>
      <c r="G423" t="s">
        <v>8</v>
      </c>
      <c r="H423" s="2">
        <v>750000</v>
      </c>
    </row>
    <row r="424" spans="2:8" x14ac:dyDescent="0.3">
      <c r="B424" s="1">
        <v>45952</v>
      </c>
      <c r="C424">
        <v>20220013791</v>
      </c>
      <c r="D424" t="s">
        <v>85</v>
      </c>
      <c r="E424" t="s">
        <v>80</v>
      </c>
      <c r="F424" t="s">
        <v>77</v>
      </c>
      <c r="G424" t="s">
        <v>12</v>
      </c>
      <c r="H424" s="2">
        <v>100000</v>
      </c>
    </row>
    <row r="425" spans="2:8" x14ac:dyDescent="0.3">
      <c r="B425" s="1">
        <v>45952</v>
      </c>
      <c r="C425">
        <v>20220013794</v>
      </c>
      <c r="D425" t="s">
        <v>85</v>
      </c>
      <c r="E425" t="s">
        <v>80</v>
      </c>
      <c r="F425" t="s">
        <v>77</v>
      </c>
      <c r="G425" t="s">
        <v>12</v>
      </c>
      <c r="H425" s="2">
        <v>1250000</v>
      </c>
    </row>
    <row r="426" spans="2:8" x14ac:dyDescent="0.3">
      <c r="B426" s="1">
        <v>45952</v>
      </c>
      <c r="C426">
        <v>20220013797</v>
      </c>
      <c r="D426" t="s">
        <v>85</v>
      </c>
      <c r="E426" t="s">
        <v>80</v>
      </c>
      <c r="F426" t="s">
        <v>77</v>
      </c>
      <c r="G426" t="s">
        <v>14</v>
      </c>
      <c r="H426" s="2">
        <v>100000</v>
      </c>
    </row>
    <row r="427" spans="2:8" x14ac:dyDescent="0.3">
      <c r="B427" s="1">
        <v>45952</v>
      </c>
      <c r="C427">
        <v>20220013800</v>
      </c>
      <c r="D427" t="s">
        <v>85</v>
      </c>
      <c r="E427" t="s">
        <v>81</v>
      </c>
      <c r="F427" t="s">
        <v>77</v>
      </c>
      <c r="G427" t="s">
        <v>60</v>
      </c>
      <c r="H427" s="2">
        <v>1000000</v>
      </c>
    </row>
    <row r="428" spans="2:8" x14ac:dyDescent="0.3">
      <c r="B428" s="1">
        <v>45952</v>
      </c>
      <c r="C428">
        <v>20220013803</v>
      </c>
      <c r="D428" t="s">
        <v>85</v>
      </c>
      <c r="E428" t="s">
        <v>80</v>
      </c>
      <c r="F428" t="s">
        <v>77</v>
      </c>
      <c r="G428" t="s">
        <v>60</v>
      </c>
      <c r="H428" s="2">
        <v>100000</v>
      </c>
    </row>
    <row r="429" spans="2:8" x14ac:dyDescent="0.3">
      <c r="B429" s="1">
        <v>45952</v>
      </c>
      <c r="C429">
        <v>20220013806</v>
      </c>
      <c r="D429" t="s">
        <v>85</v>
      </c>
      <c r="E429" t="s">
        <v>80</v>
      </c>
      <c r="F429" t="s">
        <v>77</v>
      </c>
      <c r="G429" t="s">
        <v>60</v>
      </c>
      <c r="H429" s="2">
        <v>100000</v>
      </c>
    </row>
    <row r="430" spans="2:8" x14ac:dyDescent="0.3">
      <c r="B430" s="1">
        <v>45952</v>
      </c>
      <c r="C430">
        <v>20220013809</v>
      </c>
      <c r="D430" t="s">
        <v>85</v>
      </c>
      <c r="E430" t="s">
        <v>80</v>
      </c>
      <c r="F430" t="s">
        <v>77</v>
      </c>
      <c r="G430" t="s">
        <v>44</v>
      </c>
      <c r="H430" s="2">
        <v>500000</v>
      </c>
    </row>
    <row r="431" spans="2:8" x14ac:dyDescent="0.3">
      <c r="B431" s="1">
        <v>45952</v>
      </c>
      <c r="C431">
        <v>20220013812</v>
      </c>
      <c r="D431" t="s">
        <v>85</v>
      </c>
      <c r="E431" t="s">
        <v>81</v>
      </c>
      <c r="F431" t="s">
        <v>77</v>
      </c>
      <c r="G431" t="s">
        <v>12</v>
      </c>
      <c r="H431" s="2">
        <v>2000000</v>
      </c>
    </row>
    <row r="432" spans="2:8" x14ac:dyDescent="0.3">
      <c r="B432" s="1">
        <v>45952</v>
      </c>
      <c r="C432">
        <v>20220013815</v>
      </c>
      <c r="D432" t="s">
        <v>85</v>
      </c>
      <c r="E432" t="s">
        <v>81</v>
      </c>
      <c r="F432" t="s">
        <v>77</v>
      </c>
      <c r="G432" t="s">
        <v>14</v>
      </c>
      <c r="H432" s="2">
        <v>150000</v>
      </c>
    </row>
    <row r="433" spans="2:8" x14ac:dyDescent="0.3">
      <c r="B433" s="1">
        <v>45953</v>
      </c>
      <c r="C433">
        <v>20220013818</v>
      </c>
      <c r="D433" t="s">
        <v>85</v>
      </c>
      <c r="E433" t="s">
        <v>81</v>
      </c>
      <c r="F433" t="s">
        <v>77</v>
      </c>
      <c r="G433" t="s">
        <v>13</v>
      </c>
      <c r="H433" s="2">
        <v>1250000</v>
      </c>
    </row>
    <row r="434" spans="2:8" x14ac:dyDescent="0.3">
      <c r="B434" s="1">
        <v>45953</v>
      </c>
      <c r="C434">
        <v>20220013821</v>
      </c>
      <c r="D434" t="s">
        <v>85</v>
      </c>
      <c r="E434" t="s">
        <v>81</v>
      </c>
      <c r="F434" t="s">
        <v>77</v>
      </c>
      <c r="G434" t="s">
        <v>13</v>
      </c>
      <c r="H434" s="2">
        <v>100000</v>
      </c>
    </row>
    <row r="435" spans="2:8" x14ac:dyDescent="0.3">
      <c r="B435" s="1">
        <v>45953</v>
      </c>
      <c r="C435">
        <v>20220013824</v>
      </c>
      <c r="D435" t="s">
        <v>85</v>
      </c>
      <c r="E435" t="s">
        <v>81</v>
      </c>
      <c r="F435" t="s">
        <v>77</v>
      </c>
      <c r="G435" t="s">
        <v>13</v>
      </c>
      <c r="H435" s="2">
        <v>100000</v>
      </c>
    </row>
    <row r="436" spans="2:8" x14ac:dyDescent="0.3">
      <c r="B436" s="1">
        <v>45953</v>
      </c>
      <c r="C436">
        <v>20220013827</v>
      </c>
      <c r="D436" t="s">
        <v>85</v>
      </c>
      <c r="E436" t="s">
        <v>81</v>
      </c>
      <c r="F436" t="s">
        <v>77</v>
      </c>
      <c r="G436" t="s">
        <v>60</v>
      </c>
      <c r="H436" s="2">
        <v>1250000</v>
      </c>
    </row>
    <row r="437" spans="2:8" x14ac:dyDescent="0.3">
      <c r="B437" s="1">
        <v>45954</v>
      </c>
      <c r="C437">
        <v>20220013830</v>
      </c>
      <c r="D437" t="s">
        <v>85</v>
      </c>
      <c r="E437" t="s">
        <v>81</v>
      </c>
      <c r="F437" t="s">
        <v>77</v>
      </c>
      <c r="G437" t="s">
        <v>4</v>
      </c>
      <c r="H437" s="2">
        <v>750000</v>
      </c>
    </row>
    <row r="438" spans="2:8" x14ac:dyDescent="0.3">
      <c r="B438" s="1">
        <v>45954</v>
      </c>
      <c r="C438">
        <v>20220013833</v>
      </c>
      <c r="D438" t="s">
        <v>85</v>
      </c>
      <c r="E438" t="s">
        <v>80</v>
      </c>
      <c r="F438" t="s">
        <v>77</v>
      </c>
      <c r="G438" t="s">
        <v>4</v>
      </c>
      <c r="H438" s="2">
        <v>1100000</v>
      </c>
    </row>
    <row r="439" spans="2:8" x14ac:dyDescent="0.3">
      <c r="B439" s="1">
        <v>45954</v>
      </c>
      <c r="C439">
        <v>20220013836</v>
      </c>
      <c r="D439" t="s">
        <v>85</v>
      </c>
      <c r="E439" t="s">
        <v>80</v>
      </c>
      <c r="F439" t="s">
        <v>77</v>
      </c>
      <c r="G439" t="s">
        <v>4</v>
      </c>
      <c r="H439" s="2">
        <v>100000</v>
      </c>
    </row>
    <row r="440" spans="2:8" x14ac:dyDescent="0.3">
      <c r="B440" s="1">
        <v>45954</v>
      </c>
      <c r="C440">
        <v>20220013839</v>
      </c>
      <c r="D440" t="s">
        <v>85</v>
      </c>
      <c r="E440" t="s">
        <v>81</v>
      </c>
      <c r="F440" t="s">
        <v>77</v>
      </c>
      <c r="G440" t="s">
        <v>60</v>
      </c>
      <c r="H440" s="2">
        <v>100000</v>
      </c>
    </row>
    <row r="441" spans="2:8" x14ac:dyDescent="0.3">
      <c r="B441" s="1">
        <v>45944</v>
      </c>
      <c r="C441">
        <v>20220013518</v>
      </c>
      <c r="D441" t="s">
        <v>85</v>
      </c>
      <c r="E441" t="s">
        <v>81</v>
      </c>
      <c r="F441" t="s">
        <v>77</v>
      </c>
      <c r="G441" t="s">
        <v>64</v>
      </c>
      <c r="H441" s="2">
        <v>2000000</v>
      </c>
    </row>
    <row r="442" spans="2:8" x14ac:dyDescent="0.3">
      <c r="B442" s="1">
        <v>45955</v>
      </c>
      <c r="C442">
        <v>20220013842</v>
      </c>
      <c r="D442" t="s">
        <v>85</v>
      </c>
      <c r="E442" t="s">
        <v>80</v>
      </c>
      <c r="F442" t="s">
        <v>77</v>
      </c>
      <c r="G442" t="s">
        <v>29</v>
      </c>
      <c r="H442" s="2">
        <v>500000</v>
      </c>
    </row>
    <row r="443" spans="2:8" x14ac:dyDescent="0.3">
      <c r="B443" s="1">
        <v>45955</v>
      </c>
      <c r="C443">
        <v>20220013845</v>
      </c>
      <c r="D443" t="s">
        <v>85</v>
      </c>
      <c r="E443" t="s">
        <v>80</v>
      </c>
      <c r="F443" t="s">
        <v>77</v>
      </c>
      <c r="G443" t="s">
        <v>29</v>
      </c>
      <c r="H443" s="2">
        <v>750000</v>
      </c>
    </row>
    <row r="444" spans="2:8" x14ac:dyDescent="0.3">
      <c r="B444" s="1">
        <v>45955</v>
      </c>
      <c r="C444">
        <v>20220013848</v>
      </c>
      <c r="D444" t="s">
        <v>85</v>
      </c>
      <c r="E444" t="s">
        <v>81</v>
      </c>
      <c r="F444" t="s">
        <v>77</v>
      </c>
      <c r="G444" t="s">
        <v>29</v>
      </c>
      <c r="H444" s="2">
        <v>100000</v>
      </c>
    </row>
    <row r="445" spans="2:8" x14ac:dyDescent="0.3">
      <c r="B445" s="1">
        <v>45955</v>
      </c>
      <c r="C445">
        <v>20220013851</v>
      </c>
      <c r="D445" t="s">
        <v>85</v>
      </c>
      <c r="E445" t="s">
        <v>80</v>
      </c>
      <c r="F445" t="s">
        <v>77</v>
      </c>
      <c r="G445" t="s">
        <v>60</v>
      </c>
      <c r="H445" s="2">
        <v>400000</v>
      </c>
    </row>
    <row r="446" spans="2:8" x14ac:dyDescent="0.3">
      <c r="B446" s="1">
        <v>45955</v>
      </c>
      <c r="C446">
        <v>20220013854</v>
      </c>
      <c r="D446" t="s">
        <v>85</v>
      </c>
      <c r="E446" t="s">
        <v>81</v>
      </c>
      <c r="F446" t="s">
        <v>77</v>
      </c>
      <c r="G446" t="s">
        <v>56</v>
      </c>
      <c r="H446" s="2">
        <v>100000</v>
      </c>
    </row>
    <row r="447" spans="2:8" x14ac:dyDescent="0.3">
      <c r="B447" s="1">
        <v>45955</v>
      </c>
      <c r="C447">
        <v>20220013857</v>
      </c>
      <c r="D447" t="s">
        <v>85</v>
      </c>
      <c r="E447" t="s">
        <v>81</v>
      </c>
      <c r="F447" t="s">
        <v>77</v>
      </c>
      <c r="G447" t="s">
        <v>52</v>
      </c>
      <c r="H447" s="2">
        <v>100000</v>
      </c>
    </row>
    <row r="448" spans="2:8" x14ac:dyDescent="0.3">
      <c r="B448" s="1">
        <v>45955</v>
      </c>
      <c r="C448">
        <v>20220013860</v>
      </c>
      <c r="D448" t="s">
        <v>85</v>
      </c>
      <c r="E448" t="s">
        <v>81</v>
      </c>
      <c r="F448" t="s">
        <v>77</v>
      </c>
      <c r="G448" t="s">
        <v>52</v>
      </c>
      <c r="H448" s="2">
        <v>1500000</v>
      </c>
    </row>
    <row r="449" spans="2:8" x14ac:dyDescent="0.3">
      <c r="B449" s="1">
        <v>45955</v>
      </c>
      <c r="C449">
        <v>20220013863</v>
      </c>
      <c r="D449" t="s">
        <v>85</v>
      </c>
      <c r="E449" t="s">
        <v>81</v>
      </c>
      <c r="F449" t="s">
        <v>77</v>
      </c>
      <c r="G449" t="s">
        <v>56</v>
      </c>
      <c r="H449" s="2">
        <v>100000</v>
      </c>
    </row>
    <row r="450" spans="2:8" x14ac:dyDescent="0.3">
      <c r="B450" s="1">
        <v>45955</v>
      </c>
      <c r="C450">
        <v>20220013866</v>
      </c>
      <c r="D450" t="s">
        <v>85</v>
      </c>
      <c r="E450" t="s">
        <v>81</v>
      </c>
      <c r="F450" t="s">
        <v>77</v>
      </c>
      <c r="G450" t="s">
        <v>56</v>
      </c>
      <c r="H450" s="2">
        <v>100000</v>
      </c>
    </row>
    <row r="451" spans="2:8" x14ac:dyDescent="0.3">
      <c r="B451" s="1">
        <v>45956</v>
      </c>
      <c r="C451">
        <v>20220013869</v>
      </c>
      <c r="D451" t="s">
        <v>85</v>
      </c>
      <c r="E451" t="s">
        <v>80</v>
      </c>
      <c r="F451" t="s">
        <v>77</v>
      </c>
      <c r="G451" t="s">
        <v>14</v>
      </c>
      <c r="H451" s="2">
        <v>350000</v>
      </c>
    </row>
    <row r="452" spans="2:8" x14ac:dyDescent="0.3">
      <c r="B452" s="1">
        <v>45956</v>
      </c>
      <c r="C452">
        <v>20220013872</v>
      </c>
      <c r="D452" t="s">
        <v>85</v>
      </c>
      <c r="E452" t="s">
        <v>80</v>
      </c>
      <c r="F452" t="s">
        <v>77</v>
      </c>
      <c r="G452" t="s">
        <v>14</v>
      </c>
      <c r="H452" s="2">
        <v>1250000</v>
      </c>
    </row>
    <row r="453" spans="2:8" x14ac:dyDescent="0.3">
      <c r="B453" s="1">
        <v>45956</v>
      </c>
      <c r="C453">
        <v>20220013875</v>
      </c>
      <c r="D453" t="s">
        <v>85</v>
      </c>
      <c r="E453" t="s">
        <v>80</v>
      </c>
      <c r="F453" t="s">
        <v>77</v>
      </c>
      <c r="G453" t="s">
        <v>14</v>
      </c>
      <c r="H453" s="2">
        <v>100000</v>
      </c>
    </row>
    <row r="454" spans="2:8" x14ac:dyDescent="0.3">
      <c r="B454" s="1">
        <v>45956</v>
      </c>
      <c r="C454">
        <v>20220013878</v>
      </c>
      <c r="D454" t="s">
        <v>85</v>
      </c>
      <c r="E454" t="s">
        <v>80</v>
      </c>
      <c r="F454" t="s">
        <v>77</v>
      </c>
      <c r="G454" t="s">
        <v>64</v>
      </c>
      <c r="H454" s="2">
        <v>2000000</v>
      </c>
    </row>
    <row r="455" spans="2:8" x14ac:dyDescent="0.3">
      <c r="B455" s="1">
        <v>45956</v>
      </c>
      <c r="C455">
        <v>20220013881</v>
      </c>
      <c r="D455" t="s">
        <v>85</v>
      </c>
      <c r="E455" t="s">
        <v>80</v>
      </c>
      <c r="F455" t="s">
        <v>77</v>
      </c>
      <c r="G455" t="s">
        <v>8</v>
      </c>
      <c r="H455" s="2">
        <v>1100000</v>
      </c>
    </row>
    <row r="456" spans="2:8" x14ac:dyDescent="0.3">
      <c r="B456" s="1">
        <v>45956</v>
      </c>
      <c r="C456">
        <v>20220013884</v>
      </c>
      <c r="D456" t="s">
        <v>85</v>
      </c>
      <c r="E456" t="s">
        <v>81</v>
      </c>
      <c r="F456" t="s">
        <v>77</v>
      </c>
      <c r="G456" t="s">
        <v>9</v>
      </c>
      <c r="H456" s="2">
        <v>300000</v>
      </c>
    </row>
    <row r="457" spans="2:8" x14ac:dyDescent="0.3">
      <c r="B457" s="1">
        <v>45956</v>
      </c>
      <c r="C457">
        <v>20220013887</v>
      </c>
      <c r="D457" t="s">
        <v>85</v>
      </c>
      <c r="E457" t="s">
        <v>80</v>
      </c>
      <c r="F457" t="s">
        <v>77</v>
      </c>
      <c r="G457" t="s">
        <v>8</v>
      </c>
      <c r="H457" s="2">
        <v>1000000</v>
      </c>
    </row>
    <row r="458" spans="2:8" x14ac:dyDescent="0.3">
      <c r="B458" s="1">
        <v>45956</v>
      </c>
      <c r="C458">
        <v>20220013890</v>
      </c>
      <c r="D458" t="s">
        <v>85</v>
      </c>
      <c r="E458" t="s">
        <v>80</v>
      </c>
      <c r="F458" t="s">
        <v>77</v>
      </c>
      <c r="G458" t="s">
        <v>60</v>
      </c>
      <c r="H458" s="2">
        <v>750000</v>
      </c>
    </row>
    <row r="459" spans="2:8" x14ac:dyDescent="0.3">
      <c r="B459" s="1">
        <v>45957</v>
      </c>
      <c r="C459">
        <v>20220013893</v>
      </c>
      <c r="D459" t="s">
        <v>85</v>
      </c>
      <c r="E459" t="s">
        <v>81</v>
      </c>
      <c r="F459" t="s">
        <v>77</v>
      </c>
      <c r="G459" t="s">
        <v>18</v>
      </c>
      <c r="H459" s="2">
        <v>350000</v>
      </c>
    </row>
    <row r="460" spans="2:8" x14ac:dyDescent="0.3">
      <c r="B460" s="1">
        <v>45957</v>
      </c>
      <c r="C460">
        <v>20220013896</v>
      </c>
      <c r="D460" t="s">
        <v>85</v>
      </c>
      <c r="E460" t="s">
        <v>80</v>
      </c>
      <c r="F460" t="s">
        <v>77</v>
      </c>
      <c r="G460" t="s">
        <v>18</v>
      </c>
      <c r="H460" s="2">
        <v>100000</v>
      </c>
    </row>
    <row r="461" spans="2:8" x14ac:dyDescent="0.3">
      <c r="B461" s="1">
        <v>45957</v>
      </c>
      <c r="C461">
        <v>20220013899</v>
      </c>
      <c r="D461" t="s">
        <v>85</v>
      </c>
      <c r="E461" t="s">
        <v>80</v>
      </c>
      <c r="F461" t="s">
        <v>77</v>
      </c>
      <c r="G461" t="s">
        <v>18</v>
      </c>
      <c r="H461" s="2">
        <v>100000</v>
      </c>
    </row>
    <row r="462" spans="2:8" x14ac:dyDescent="0.3">
      <c r="B462" s="1">
        <v>45957</v>
      </c>
      <c r="C462">
        <v>20220013902</v>
      </c>
      <c r="D462" t="s">
        <v>85</v>
      </c>
      <c r="E462" t="s">
        <v>80</v>
      </c>
      <c r="F462" t="s">
        <v>77</v>
      </c>
      <c r="G462" t="s">
        <v>18</v>
      </c>
      <c r="H462" s="2">
        <v>100000</v>
      </c>
    </row>
    <row r="463" spans="2:8" x14ac:dyDescent="0.3">
      <c r="B463" s="1">
        <v>45957</v>
      </c>
      <c r="C463">
        <v>20220013905</v>
      </c>
      <c r="D463" t="s">
        <v>85</v>
      </c>
      <c r="E463" t="s">
        <v>81</v>
      </c>
      <c r="F463" t="s">
        <v>77</v>
      </c>
      <c r="G463" t="s">
        <v>17</v>
      </c>
      <c r="H463" s="2">
        <v>1000000</v>
      </c>
    </row>
    <row r="464" spans="2:8" x14ac:dyDescent="0.3">
      <c r="B464" s="1">
        <v>45957</v>
      </c>
      <c r="C464">
        <v>20220013908</v>
      </c>
      <c r="D464" t="s">
        <v>85</v>
      </c>
      <c r="E464" t="s">
        <v>80</v>
      </c>
      <c r="F464" t="s">
        <v>77</v>
      </c>
      <c r="G464" t="s">
        <v>18</v>
      </c>
      <c r="H464" s="2">
        <v>100000</v>
      </c>
    </row>
    <row r="465" spans="2:8" x14ac:dyDescent="0.3">
      <c r="B465" s="1">
        <v>45957</v>
      </c>
      <c r="C465">
        <v>20220013911</v>
      </c>
      <c r="D465" t="s">
        <v>85</v>
      </c>
      <c r="E465" t="s">
        <v>80</v>
      </c>
      <c r="F465" t="s">
        <v>77</v>
      </c>
      <c r="G465" t="s">
        <v>17</v>
      </c>
      <c r="H465" s="2">
        <v>750000</v>
      </c>
    </row>
    <row r="466" spans="2:8" x14ac:dyDescent="0.3">
      <c r="B466" s="1">
        <v>45957</v>
      </c>
      <c r="C466">
        <v>20220013914</v>
      </c>
      <c r="D466" t="s">
        <v>85</v>
      </c>
      <c r="E466" t="s">
        <v>80</v>
      </c>
      <c r="F466" t="s">
        <v>77</v>
      </c>
      <c r="G466" t="s">
        <v>9</v>
      </c>
      <c r="H466" s="2">
        <v>100000</v>
      </c>
    </row>
    <row r="467" spans="2:8" x14ac:dyDescent="0.3">
      <c r="B467" s="1">
        <v>45957</v>
      </c>
      <c r="C467">
        <v>20220013917</v>
      </c>
      <c r="D467" t="s">
        <v>85</v>
      </c>
      <c r="E467" t="s">
        <v>80</v>
      </c>
      <c r="F467" t="s">
        <v>77</v>
      </c>
      <c r="G467" t="s">
        <v>17</v>
      </c>
      <c r="H467" s="2">
        <v>500000</v>
      </c>
    </row>
    <row r="468" spans="2:8" x14ac:dyDescent="0.3">
      <c r="B468" s="1">
        <v>45957</v>
      </c>
      <c r="C468">
        <v>20220013920</v>
      </c>
      <c r="D468" t="s">
        <v>85</v>
      </c>
      <c r="E468" t="s">
        <v>81</v>
      </c>
      <c r="F468" t="s">
        <v>77</v>
      </c>
      <c r="G468" t="s">
        <v>60</v>
      </c>
      <c r="H468" s="2">
        <v>100000</v>
      </c>
    </row>
    <row r="469" spans="2:8" x14ac:dyDescent="0.3">
      <c r="B469" s="1">
        <v>45958</v>
      </c>
      <c r="C469">
        <v>20220013923</v>
      </c>
      <c r="D469" t="s">
        <v>85</v>
      </c>
      <c r="E469" t="s">
        <v>80</v>
      </c>
      <c r="F469" t="s">
        <v>77</v>
      </c>
      <c r="G469" t="s">
        <v>2</v>
      </c>
      <c r="H469" s="2">
        <v>300000</v>
      </c>
    </row>
    <row r="470" spans="2:8" x14ac:dyDescent="0.3">
      <c r="B470" s="1">
        <v>45958</v>
      </c>
      <c r="C470">
        <v>20220013926</v>
      </c>
      <c r="D470" t="s">
        <v>85</v>
      </c>
      <c r="E470" t="s">
        <v>80</v>
      </c>
      <c r="F470" t="s">
        <v>77</v>
      </c>
      <c r="G470" t="s">
        <v>4</v>
      </c>
      <c r="H470" s="2">
        <v>1200000</v>
      </c>
    </row>
    <row r="471" spans="2:8" x14ac:dyDescent="0.3">
      <c r="B471" s="1">
        <v>45958</v>
      </c>
      <c r="C471">
        <v>20220013929</v>
      </c>
      <c r="D471" t="s">
        <v>85</v>
      </c>
      <c r="E471" t="s">
        <v>81</v>
      </c>
      <c r="F471" t="s">
        <v>77</v>
      </c>
      <c r="G471" t="s">
        <v>2</v>
      </c>
      <c r="H471" s="2">
        <v>300000</v>
      </c>
    </row>
    <row r="472" spans="2:8" x14ac:dyDescent="0.3">
      <c r="B472" s="1">
        <v>45958</v>
      </c>
      <c r="C472">
        <v>20220013932</v>
      </c>
      <c r="D472" t="s">
        <v>85</v>
      </c>
      <c r="E472" t="s">
        <v>80</v>
      </c>
      <c r="F472" t="s">
        <v>77</v>
      </c>
      <c r="G472" t="s">
        <v>4</v>
      </c>
      <c r="H472" s="2">
        <v>750000</v>
      </c>
    </row>
    <row r="473" spans="2:8" x14ac:dyDescent="0.3">
      <c r="B473" s="1">
        <v>45958</v>
      </c>
      <c r="C473">
        <v>20220013935</v>
      </c>
      <c r="D473" t="s">
        <v>85</v>
      </c>
      <c r="E473" t="s">
        <v>80</v>
      </c>
      <c r="F473" t="s">
        <v>77</v>
      </c>
      <c r="G473" t="s">
        <v>2</v>
      </c>
      <c r="H473" s="2">
        <v>500000</v>
      </c>
    </row>
    <row r="474" spans="2:8" x14ac:dyDescent="0.3">
      <c r="B474" s="1">
        <v>45958</v>
      </c>
      <c r="C474">
        <v>20220013938</v>
      </c>
      <c r="D474" t="s">
        <v>85</v>
      </c>
      <c r="E474" t="s">
        <v>80</v>
      </c>
      <c r="F474" t="s">
        <v>77</v>
      </c>
      <c r="G474" t="s">
        <v>4</v>
      </c>
      <c r="H474" s="2">
        <v>1000000</v>
      </c>
    </row>
    <row r="475" spans="2:8" x14ac:dyDescent="0.3">
      <c r="B475" s="1">
        <v>45958</v>
      </c>
      <c r="C475">
        <v>20220013941</v>
      </c>
      <c r="D475" t="s">
        <v>85</v>
      </c>
      <c r="E475" t="s">
        <v>81</v>
      </c>
      <c r="F475" t="s">
        <v>77</v>
      </c>
      <c r="G475" t="s">
        <v>2</v>
      </c>
      <c r="H475" s="2">
        <v>200000</v>
      </c>
    </row>
    <row r="476" spans="2:8" x14ac:dyDescent="0.3">
      <c r="B476" s="1">
        <v>45958</v>
      </c>
      <c r="C476">
        <v>20220013944</v>
      </c>
      <c r="D476" t="s">
        <v>85</v>
      </c>
      <c r="E476" t="s">
        <v>80</v>
      </c>
      <c r="F476" t="s">
        <v>77</v>
      </c>
      <c r="G476" t="s">
        <v>4</v>
      </c>
      <c r="H476" s="2">
        <v>750000</v>
      </c>
    </row>
    <row r="477" spans="2:8" x14ac:dyDescent="0.3">
      <c r="B477" s="1">
        <v>45958</v>
      </c>
      <c r="C477">
        <v>20220013947</v>
      </c>
      <c r="D477" t="s">
        <v>85</v>
      </c>
      <c r="E477" t="s">
        <v>80</v>
      </c>
      <c r="F477" t="s">
        <v>77</v>
      </c>
      <c r="G477" t="s">
        <v>17</v>
      </c>
      <c r="H477" s="2">
        <v>300000</v>
      </c>
    </row>
    <row r="478" spans="2:8" x14ac:dyDescent="0.3">
      <c r="B478" s="1">
        <v>45958</v>
      </c>
      <c r="C478">
        <v>20220013950</v>
      </c>
      <c r="D478" t="s">
        <v>85</v>
      </c>
      <c r="E478" t="s">
        <v>80</v>
      </c>
      <c r="F478" t="s">
        <v>77</v>
      </c>
      <c r="G478" t="s">
        <v>4</v>
      </c>
      <c r="H478" s="2">
        <v>100000</v>
      </c>
    </row>
    <row r="479" spans="2:8" x14ac:dyDescent="0.3">
      <c r="B479" s="1">
        <v>45958</v>
      </c>
      <c r="C479">
        <v>20220013953</v>
      </c>
      <c r="D479" t="s">
        <v>85</v>
      </c>
      <c r="E479" t="s">
        <v>81</v>
      </c>
      <c r="F479" t="s">
        <v>83</v>
      </c>
      <c r="G479" t="s">
        <v>2</v>
      </c>
      <c r="H479" s="2">
        <v>100000</v>
      </c>
    </row>
    <row r="480" spans="2:8" x14ac:dyDescent="0.3">
      <c r="B480" s="1">
        <v>45958</v>
      </c>
      <c r="C480">
        <v>20220013956</v>
      </c>
      <c r="D480" t="s">
        <v>85</v>
      </c>
      <c r="E480" t="s">
        <v>80</v>
      </c>
      <c r="F480" t="s">
        <v>77</v>
      </c>
      <c r="G480" t="s">
        <v>4</v>
      </c>
      <c r="H480" s="2">
        <v>2200000</v>
      </c>
    </row>
    <row r="481" spans="2:8" x14ac:dyDescent="0.3">
      <c r="B481" s="1">
        <v>45958</v>
      </c>
      <c r="C481">
        <v>20220013959</v>
      </c>
      <c r="D481" t="s">
        <v>85</v>
      </c>
      <c r="E481" t="s">
        <v>80</v>
      </c>
      <c r="F481" t="s">
        <v>77</v>
      </c>
      <c r="G481" t="s">
        <v>17</v>
      </c>
      <c r="H481" s="2">
        <v>500000</v>
      </c>
    </row>
    <row r="482" spans="2:8" x14ac:dyDescent="0.3">
      <c r="B482" s="1">
        <v>45958</v>
      </c>
      <c r="C482">
        <v>20220013962</v>
      </c>
      <c r="D482" t="s">
        <v>85</v>
      </c>
      <c r="E482" t="s">
        <v>80</v>
      </c>
      <c r="F482" t="s">
        <v>77</v>
      </c>
      <c r="G482" t="s">
        <v>4</v>
      </c>
      <c r="H482" s="2">
        <v>100000</v>
      </c>
    </row>
    <row r="483" spans="2:8" x14ac:dyDescent="0.3">
      <c r="B483" s="1">
        <v>45958</v>
      </c>
      <c r="C483">
        <v>20220013965</v>
      </c>
      <c r="D483" t="s">
        <v>85</v>
      </c>
      <c r="E483" t="s">
        <v>81</v>
      </c>
      <c r="F483" t="s">
        <v>77</v>
      </c>
      <c r="G483" t="s">
        <v>17</v>
      </c>
      <c r="H483" s="2">
        <v>100000</v>
      </c>
    </row>
    <row r="484" spans="2:8" x14ac:dyDescent="0.3">
      <c r="B484" s="1">
        <v>45958</v>
      </c>
      <c r="C484">
        <v>20220013968</v>
      </c>
      <c r="D484" t="s">
        <v>85</v>
      </c>
      <c r="E484" t="s">
        <v>80</v>
      </c>
      <c r="F484" t="s">
        <v>77</v>
      </c>
      <c r="G484" t="s">
        <v>13</v>
      </c>
      <c r="H484" s="2">
        <v>300000</v>
      </c>
    </row>
    <row r="485" spans="2:8" x14ac:dyDescent="0.3">
      <c r="B485" s="1">
        <v>45958</v>
      </c>
      <c r="C485">
        <v>20220013971</v>
      </c>
      <c r="D485" t="s">
        <v>85</v>
      </c>
      <c r="E485" t="s">
        <v>80</v>
      </c>
      <c r="F485" t="s">
        <v>77</v>
      </c>
      <c r="G485" t="s">
        <v>17</v>
      </c>
      <c r="H485" s="2">
        <v>750000</v>
      </c>
    </row>
    <row r="486" spans="2:8" x14ac:dyDescent="0.3">
      <c r="B486" s="1">
        <v>45958</v>
      </c>
      <c r="C486">
        <v>20220013974</v>
      </c>
      <c r="D486" t="s">
        <v>85</v>
      </c>
      <c r="E486" t="s">
        <v>80</v>
      </c>
      <c r="F486" t="s">
        <v>77</v>
      </c>
      <c r="G486" t="s">
        <v>4</v>
      </c>
      <c r="H486" s="2">
        <v>1000000</v>
      </c>
    </row>
    <row r="487" spans="2:8" x14ac:dyDescent="0.3">
      <c r="B487" s="1">
        <v>45958</v>
      </c>
      <c r="C487">
        <v>20220013977</v>
      </c>
      <c r="D487" t="s">
        <v>85</v>
      </c>
      <c r="E487" t="s">
        <v>81</v>
      </c>
      <c r="F487" t="s">
        <v>77</v>
      </c>
      <c r="G487" t="s">
        <v>9</v>
      </c>
      <c r="H487" s="2">
        <v>100000</v>
      </c>
    </row>
    <row r="488" spans="2:8" x14ac:dyDescent="0.3">
      <c r="B488" s="1">
        <v>45958</v>
      </c>
      <c r="C488">
        <v>20220013980</v>
      </c>
      <c r="D488" t="s">
        <v>85</v>
      </c>
      <c r="E488" t="s">
        <v>81</v>
      </c>
      <c r="F488" t="s">
        <v>77</v>
      </c>
      <c r="G488" t="s">
        <v>50</v>
      </c>
      <c r="H488" s="2">
        <v>1300000</v>
      </c>
    </row>
    <row r="489" spans="2:8" x14ac:dyDescent="0.3">
      <c r="B489" s="1">
        <v>45958</v>
      </c>
      <c r="C489">
        <v>20220013983</v>
      </c>
      <c r="D489" t="s">
        <v>85</v>
      </c>
      <c r="E489" t="s">
        <v>80</v>
      </c>
      <c r="F489" t="s">
        <v>77</v>
      </c>
      <c r="G489" t="s">
        <v>56</v>
      </c>
      <c r="H489" s="2">
        <v>100000</v>
      </c>
    </row>
    <row r="490" spans="2:8" x14ac:dyDescent="0.3">
      <c r="B490" s="1">
        <v>45959</v>
      </c>
      <c r="C490">
        <v>20220013986</v>
      </c>
      <c r="D490" t="s">
        <v>85</v>
      </c>
      <c r="E490" t="s">
        <v>81</v>
      </c>
      <c r="F490" t="s">
        <v>77</v>
      </c>
      <c r="G490" t="s">
        <v>56</v>
      </c>
      <c r="H490" s="2">
        <v>1000000</v>
      </c>
    </row>
    <row r="491" spans="2:8" x14ac:dyDescent="0.3">
      <c r="B491" s="1">
        <v>45960</v>
      </c>
      <c r="C491">
        <v>20220013989</v>
      </c>
      <c r="D491" t="s">
        <v>85</v>
      </c>
      <c r="E491" t="s">
        <v>81</v>
      </c>
      <c r="F491" t="s">
        <v>77</v>
      </c>
      <c r="G491" t="s">
        <v>6</v>
      </c>
      <c r="H491" s="2">
        <v>100000</v>
      </c>
    </row>
    <row r="492" spans="2:8" x14ac:dyDescent="0.3">
      <c r="B492" s="1">
        <v>45960</v>
      </c>
      <c r="C492">
        <v>20220013992</v>
      </c>
      <c r="D492" t="s">
        <v>85</v>
      </c>
      <c r="E492" t="s">
        <v>80</v>
      </c>
      <c r="F492" t="s">
        <v>77</v>
      </c>
      <c r="G492" t="s">
        <v>3</v>
      </c>
      <c r="H492" s="2">
        <v>100000</v>
      </c>
    </row>
    <row r="493" spans="2:8" x14ac:dyDescent="0.3">
      <c r="B493" s="1">
        <v>45960</v>
      </c>
      <c r="C493">
        <v>20220013995</v>
      </c>
      <c r="D493" t="s">
        <v>85</v>
      </c>
      <c r="E493" t="s">
        <v>80</v>
      </c>
      <c r="F493" t="s">
        <v>77</v>
      </c>
      <c r="G493" t="s">
        <v>8</v>
      </c>
      <c r="H493" s="2">
        <v>500000</v>
      </c>
    </row>
    <row r="494" spans="2:8" x14ac:dyDescent="0.3">
      <c r="B494" s="1">
        <v>45960</v>
      </c>
      <c r="C494">
        <v>20220013998</v>
      </c>
      <c r="D494" t="s">
        <v>85</v>
      </c>
      <c r="E494" t="s">
        <v>80</v>
      </c>
      <c r="F494" t="s">
        <v>77</v>
      </c>
      <c r="G494" t="s">
        <v>3</v>
      </c>
      <c r="H494" s="2">
        <v>1300000</v>
      </c>
    </row>
    <row r="495" spans="2:8" x14ac:dyDescent="0.3">
      <c r="B495" s="1">
        <v>45960</v>
      </c>
      <c r="C495">
        <v>20220014001</v>
      </c>
      <c r="D495" t="s">
        <v>85</v>
      </c>
      <c r="E495" t="s">
        <v>80</v>
      </c>
      <c r="F495" t="s">
        <v>77</v>
      </c>
      <c r="G495" t="s">
        <v>48</v>
      </c>
      <c r="H495" s="2">
        <v>300000</v>
      </c>
    </row>
    <row r="496" spans="2:8" x14ac:dyDescent="0.3">
      <c r="B496" s="1">
        <v>45960</v>
      </c>
      <c r="C496">
        <v>20220014004</v>
      </c>
      <c r="D496" t="s">
        <v>85</v>
      </c>
      <c r="E496" t="s">
        <v>80</v>
      </c>
      <c r="F496" t="s">
        <v>77</v>
      </c>
      <c r="G496" t="s">
        <v>3</v>
      </c>
      <c r="H496" s="2">
        <v>750000</v>
      </c>
    </row>
    <row r="497" spans="2:8" x14ac:dyDescent="0.3">
      <c r="B497" s="1">
        <v>45960</v>
      </c>
      <c r="C497">
        <v>20220014007</v>
      </c>
      <c r="D497" t="s">
        <v>85</v>
      </c>
      <c r="E497" t="s">
        <v>80</v>
      </c>
      <c r="F497" t="s">
        <v>77</v>
      </c>
      <c r="G497" t="s">
        <v>3</v>
      </c>
      <c r="H497" s="2">
        <v>100000</v>
      </c>
    </row>
    <row r="498" spans="2:8" x14ac:dyDescent="0.3">
      <c r="B498" s="1">
        <v>45960</v>
      </c>
      <c r="C498">
        <v>20220014010</v>
      </c>
      <c r="D498" t="s">
        <v>85</v>
      </c>
      <c r="E498" t="s">
        <v>80</v>
      </c>
      <c r="F498" t="s">
        <v>77</v>
      </c>
      <c r="G498" t="s">
        <v>3</v>
      </c>
      <c r="H498" s="2">
        <v>300000</v>
      </c>
    </row>
    <row r="499" spans="2:8" x14ac:dyDescent="0.3">
      <c r="B499" s="1">
        <v>45960</v>
      </c>
      <c r="C499">
        <v>20220014013</v>
      </c>
      <c r="D499" t="s">
        <v>85</v>
      </c>
      <c r="E499" t="s">
        <v>81</v>
      </c>
      <c r="F499" t="s">
        <v>77</v>
      </c>
      <c r="G499" t="s">
        <v>3</v>
      </c>
      <c r="H499" s="2">
        <v>300000</v>
      </c>
    </row>
    <row r="500" spans="2:8" x14ac:dyDescent="0.3">
      <c r="B500" s="1">
        <v>45960</v>
      </c>
      <c r="C500">
        <v>20220014016</v>
      </c>
      <c r="D500" t="s">
        <v>85</v>
      </c>
      <c r="E500" t="s">
        <v>80</v>
      </c>
      <c r="F500" t="s">
        <v>77</v>
      </c>
      <c r="G500" t="s">
        <v>3</v>
      </c>
      <c r="H500" s="2">
        <v>100000</v>
      </c>
    </row>
    <row r="501" spans="2:8" x14ac:dyDescent="0.3">
      <c r="B501" s="1">
        <v>45960</v>
      </c>
      <c r="C501">
        <v>20220014019</v>
      </c>
      <c r="D501" t="s">
        <v>85</v>
      </c>
      <c r="E501" t="s">
        <v>80</v>
      </c>
      <c r="F501" t="s">
        <v>77</v>
      </c>
      <c r="G501" t="s">
        <v>3</v>
      </c>
      <c r="H501" s="2">
        <v>1000000</v>
      </c>
    </row>
    <row r="502" spans="2:8" x14ac:dyDescent="0.3">
      <c r="B502" s="1">
        <v>45960</v>
      </c>
      <c r="C502">
        <v>20220014022</v>
      </c>
      <c r="D502" t="s">
        <v>85</v>
      </c>
      <c r="E502" t="s">
        <v>81</v>
      </c>
      <c r="F502" t="s">
        <v>77</v>
      </c>
      <c r="G502" t="s">
        <v>3</v>
      </c>
      <c r="H502" s="2">
        <v>100000</v>
      </c>
    </row>
    <row r="503" spans="2:8" x14ac:dyDescent="0.3">
      <c r="B503" s="1">
        <v>45960</v>
      </c>
      <c r="C503">
        <v>20220014025</v>
      </c>
      <c r="D503" t="s">
        <v>85</v>
      </c>
      <c r="E503" t="s">
        <v>81</v>
      </c>
      <c r="F503" t="s">
        <v>77</v>
      </c>
      <c r="G503" t="s">
        <v>3</v>
      </c>
      <c r="H503" s="2">
        <v>100000</v>
      </c>
    </row>
    <row r="504" spans="2:8" x14ac:dyDescent="0.3">
      <c r="B504" s="1">
        <v>45960</v>
      </c>
      <c r="C504">
        <v>20220014028</v>
      </c>
      <c r="D504" t="s">
        <v>85</v>
      </c>
      <c r="E504" t="s">
        <v>80</v>
      </c>
      <c r="F504" t="s">
        <v>77</v>
      </c>
      <c r="G504" t="s">
        <v>3</v>
      </c>
      <c r="H504" s="2">
        <v>2000000</v>
      </c>
    </row>
    <row r="505" spans="2:8" x14ac:dyDescent="0.3">
      <c r="B505" s="1">
        <v>45960</v>
      </c>
      <c r="C505">
        <v>20220014031</v>
      </c>
      <c r="D505" t="s">
        <v>85</v>
      </c>
      <c r="E505" t="s">
        <v>80</v>
      </c>
      <c r="F505" t="s">
        <v>77</v>
      </c>
      <c r="G505" t="s">
        <v>3</v>
      </c>
      <c r="H505" s="2">
        <v>2000000</v>
      </c>
    </row>
    <row r="506" spans="2:8" x14ac:dyDescent="0.3">
      <c r="B506" s="1">
        <v>45960</v>
      </c>
      <c r="C506">
        <v>20220014034</v>
      </c>
      <c r="D506" t="s">
        <v>85</v>
      </c>
      <c r="E506" t="s">
        <v>80</v>
      </c>
      <c r="F506" t="s">
        <v>77</v>
      </c>
      <c r="G506" t="s">
        <v>64</v>
      </c>
      <c r="H506" s="2">
        <v>300000</v>
      </c>
    </row>
    <row r="507" spans="2:8" x14ac:dyDescent="0.3">
      <c r="B507" s="1">
        <v>45960</v>
      </c>
      <c r="C507">
        <v>20220014037</v>
      </c>
      <c r="D507" t="s">
        <v>85</v>
      </c>
      <c r="E507" t="s">
        <v>80</v>
      </c>
      <c r="F507" t="s">
        <v>77</v>
      </c>
      <c r="G507" t="s">
        <v>64</v>
      </c>
      <c r="H507" s="2">
        <v>300000</v>
      </c>
    </row>
    <row r="508" spans="2:8" x14ac:dyDescent="0.3">
      <c r="B508" s="1">
        <v>45960</v>
      </c>
      <c r="C508">
        <v>20220014040</v>
      </c>
      <c r="D508" t="s">
        <v>85</v>
      </c>
      <c r="E508" t="s">
        <v>80</v>
      </c>
      <c r="F508" t="s">
        <v>77</v>
      </c>
      <c r="G508" t="s">
        <v>44</v>
      </c>
      <c r="H508" s="2">
        <v>1000000</v>
      </c>
    </row>
    <row r="509" spans="2:8" x14ac:dyDescent="0.3">
      <c r="B509" s="1">
        <v>45963</v>
      </c>
      <c r="C509">
        <v>20220014043</v>
      </c>
      <c r="D509" t="s">
        <v>85</v>
      </c>
      <c r="E509" t="s">
        <v>80</v>
      </c>
      <c r="F509" t="s">
        <v>77</v>
      </c>
      <c r="G509" t="s">
        <v>48</v>
      </c>
      <c r="H509" s="2">
        <v>450000</v>
      </c>
    </row>
    <row r="510" spans="2:8" x14ac:dyDescent="0.3">
      <c r="B510" s="1">
        <v>45963</v>
      </c>
      <c r="C510">
        <v>20220014046</v>
      </c>
      <c r="D510" t="s">
        <v>85</v>
      </c>
      <c r="E510" t="s">
        <v>80</v>
      </c>
      <c r="F510" t="s">
        <v>77</v>
      </c>
      <c r="G510" t="s">
        <v>17</v>
      </c>
      <c r="H510" s="2">
        <v>350000</v>
      </c>
    </row>
    <row r="511" spans="2:8" x14ac:dyDescent="0.3">
      <c r="B511" s="1">
        <v>45963</v>
      </c>
      <c r="C511">
        <v>20220014049</v>
      </c>
      <c r="D511" t="s">
        <v>85</v>
      </c>
      <c r="E511" t="s">
        <v>80</v>
      </c>
      <c r="F511" t="s">
        <v>77</v>
      </c>
      <c r="G511" t="s">
        <v>17</v>
      </c>
      <c r="H511" s="2">
        <v>350000</v>
      </c>
    </row>
    <row r="512" spans="2:8" x14ac:dyDescent="0.3">
      <c r="B512" s="1">
        <v>45963</v>
      </c>
      <c r="C512">
        <v>20220014052</v>
      </c>
      <c r="D512" t="s">
        <v>85</v>
      </c>
      <c r="E512" t="s">
        <v>80</v>
      </c>
      <c r="F512" t="s">
        <v>77</v>
      </c>
      <c r="G512" t="s">
        <v>17</v>
      </c>
      <c r="H512" s="2">
        <v>350000</v>
      </c>
    </row>
    <row r="513" spans="2:8" x14ac:dyDescent="0.3">
      <c r="B513" s="1">
        <v>45963</v>
      </c>
      <c r="C513">
        <v>20220014055</v>
      </c>
      <c r="D513" t="s">
        <v>85</v>
      </c>
      <c r="E513" t="s">
        <v>80</v>
      </c>
      <c r="F513" t="s">
        <v>83</v>
      </c>
      <c r="G513" t="s">
        <v>8</v>
      </c>
      <c r="H513" s="2">
        <v>100000</v>
      </c>
    </row>
    <row r="514" spans="2:8" x14ac:dyDescent="0.3">
      <c r="B514" s="1">
        <v>45963</v>
      </c>
      <c r="C514">
        <v>20220014058</v>
      </c>
      <c r="D514" t="s">
        <v>85</v>
      </c>
      <c r="E514" t="s">
        <v>80</v>
      </c>
      <c r="F514" t="s">
        <v>83</v>
      </c>
      <c r="G514" t="s">
        <v>8</v>
      </c>
      <c r="H514" s="2">
        <v>100000</v>
      </c>
    </row>
    <row r="515" spans="2:8" x14ac:dyDescent="0.3">
      <c r="B515" s="1">
        <v>45963</v>
      </c>
      <c r="C515">
        <v>20220014061</v>
      </c>
      <c r="D515" t="s">
        <v>85</v>
      </c>
      <c r="E515" t="s">
        <v>80</v>
      </c>
      <c r="F515" t="s">
        <v>83</v>
      </c>
      <c r="G515" t="s">
        <v>8</v>
      </c>
      <c r="H515" s="2">
        <v>100000</v>
      </c>
    </row>
    <row r="516" spans="2:8" x14ac:dyDescent="0.3">
      <c r="B516" s="1">
        <v>45963</v>
      </c>
      <c r="C516">
        <v>20220014064</v>
      </c>
      <c r="D516" t="s">
        <v>85</v>
      </c>
      <c r="E516" t="s">
        <v>81</v>
      </c>
      <c r="F516" t="s">
        <v>77</v>
      </c>
      <c r="G516" t="s">
        <v>17</v>
      </c>
      <c r="H516" s="2">
        <v>600000</v>
      </c>
    </row>
    <row r="517" spans="2:8" x14ac:dyDescent="0.3">
      <c r="B517" s="1">
        <v>45963</v>
      </c>
      <c r="C517">
        <v>20220014067</v>
      </c>
      <c r="D517" t="s">
        <v>85</v>
      </c>
      <c r="E517" t="s">
        <v>81</v>
      </c>
      <c r="F517" t="s">
        <v>77</v>
      </c>
      <c r="G517" t="s">
        <v>17</v>
      </c>
      <c r="H517" s="2">
        <v>600000</v>
      </c>
    </row>
    <row r="518" spans="2:8" x14ac:dyDescent="0.3">
      <c r="B518" s="1">
        <v>45963</v>
      </c>
      <c r="C518">
        <v>20220014070</v>
      </c>
      <c r="D518" t="s">
        <v>85</v>
      </c>
      <c r="E518" t="s">
        <v>81</v>
      </c>
      <c r="F518" t="s">
        <v>77</v>
      </c>
      <c r="G518" t="s">
        <v>17</v>
      </c>
      <c r="H518" s="2">
        <v>600000</v>
      </c>
    </row>
    <row r="519" spans="2:8" x14ac:dyDescent="0.3">
      <c r="B519" s="1">
        <v>45964</v>
      </c>
      <c r="C519">
        <v>20220014073</v>
      </c>
      <c r="D519" t="s">
        <v>85</v>
      </c>
      <c r="E519" t="s">
        <v>82</v>
      </c>
      <c r="F519" t="s">
        <v>77</v>
      </c>
      <c r="G519" t="s">
        <v>2</v>
      </c>
      <c r="H519" s="2">
        <v>1000000</v>
      </c>
    </row>
    <row r="520" spans="2:8" x14ac:dyDescent="0.3">
      <c r="B520" s="1">
        <v>45964</v>
      </c>
      <c r="C520">
        <v>20220014076</v>
      </c>
      <c r="D520" t="s">
        <v>85</v>
      </c>
      <c r="E520" t="s">
        <v>82</v>
      </c>
      <c r="F520" t="s">
        <v>77</v>
      </c>
      <c r="G520" t="s">
        <v>2</v>
      </c>
      <c r="H520" s="2">
        <v>100000</v>
      </c>
    </row>
    <row r="521" spans="2:8" x14ac:dyDescent="0.3">
      <c r="B521" s="1">
        <v>45964</v>
      </c>
      <c r="C521">
        <v>20220014079</v>
      </c>
      <c r="D521" t="s">
        <v>85</v>
      </c>
      <c r="E521" t="s">
        <v>82</v>
      </c>
      <c r="F521" t="s">
        <v>77</v>
      </c>
      <c r="G521" t="s">
        <v>2</v>
      </c>
      <c r="H521" s="2">
        <v>1000000</v>
      </c>
    </row>
  </sheetData>
  <sortState xmlns:xlrd2="http://schemas.microsoft.com/office/spreadsheetml/2017/richdata2" ref="B3:H521">
    <sortCondition ref="B3:B521"/>
  </sortState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5379E-5F9F-499B-A212-272EC0E655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zadání</vt:lpstr>
      <vt:lpstr>Obchodní plán</vt:lpstr>
      <vt:lpstr>ProdejeObchodnici</vt:lpstr>
      <vt:lpstr>Tabulka3</vt:lpstr>
      <vt:lpstr>rozdělení obchodníků</vt:lpstr>
      <vt:lpstr>Tabulka1</vt:lpstr>
      <vt:lpstr>prodeje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Tintěra</dc:creator>
  <cp:lastModifiedBy>Antonín Višňák</cp:lastModifiedBy>
  <dcterms:created xsi:type="dcterms:W3CDTF">2023-01-06T15:36:19Z</dcterms:created>
  <dcterms:modified xsi:type="dcterms:W3CDTF">2026-01-05T09:11:40Z</dcterms:modified>
</cp:coreProperties>
</file>