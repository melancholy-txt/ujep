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zadání" sheetId="1" state="visible" r:id="rId3"/>
    <sheet name="rozdělení obchodníků" sheetId="2" state="visible" r:id="rId4"/>
    <sheet name="prodeje" sheetId="3" state="visible" r:id="rId5"/>
    <sheet name="Obchodní plán" sheetId="4" state="visible" r:id="rId6"/>
    <sheet name="Pivot Table_prodeje_1" sheetId="5" state="visible" r:id="rId7"/>
    <sheet name="tabulky plneni" sheetId="6" state="visible" r:id="rId8"/>
  </sheets>
  <definedNames>
    <definedName function="false" hidden="true" localSheetId="2" name="_xlnm._FilterDatabase" vbProcedure="false">prodeje!$G$1:$G$520</definedName>
    <definedName function="false" hidden="true" localSheetId="1" name="_xlnm._FilterDatabase" vbProcedure="false">'rozdělení obchodníků'!$B$2:$E$34</definedName>
  </definedName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<sst xmlns="http://schemas.openxmlformats.org/spreadsheetml/2006/main" count="2313" uniqueCount="92">
  <si>
    <t xml:space="preserve">ID prodejce</t>
  </si>
  <si>
    <t xml:space="preserve">Obchodník</t>
  </si>
  <si>
    <t xml:space="preserve">Region</t>
  </si>
  <si>
    <t xml:space="preserve">Nástup</t>
  </si>
  <si>
    <t xml:space="preserve">P032</t>
  </si>
  <si>
    <t xml:space="preserve">Veselá</t>
  </si>
  <si>
    <t xml:space="preserve">Čechy</t>
  </si>
  <si>
    <t xml:space="preserve">P002</t>
  </si>
  <si>
    <t xml:space="preserve">Tuček</t>
  </si>
  <si>
    <t xml:space="preserve">Praha</t>
  </si>
  <si>
    <t xml:space="preserve">P088</t>
  </si>
  <si>
    <t xml:space="preserve">Holý</t>
  </si>
  <si>
    <t xml:space="preserve">P222</t>
  </si>
  <si>
    <t xml:space="preserve">Tvrdík</t>
  </si>
  <si>
    <t xml:space="preserve">Morava</t>
  </si>
  <si>
    <t xml:space="preserve">P112</t>
  </si>
  <si>
    <t xml:space="preserve">Nebohý</t>
  </si>
  <si>
    <t xml:space="preserve">P007</t>
  </si>
  <si>
    <t xml:space="preserve">Šlajs</t>
  </si>
  <si>
    <t xml:space="preserve">P083</t>
  </si>
  <si>
    <t xml:space="preserve">Kabik</t>
  </si>
  <si>
    <t xml:space="preserve">P023</t>
  </si>
  <si>
    <t xml:space="preserve">Novák</t>
  </si>
  <si>
    <t xml:space="preserve">P081</t>
  </si>
  <si>
    <t xml:space="preserve">Hu Dyong</t>
  </si>
  <si>
    <t xml:space="preserve">P089</t>
  </si>
  <si>
    <t xml:space="preserve">Valleryj</t>
  </si>
  <si>
    <t xml:space="preserve">P059</t>
  </si>
  <si>
    <t xml:space="preserve">Chudý</t>
  </si>
  <si>
    <t xml:space="preserve">P008</t>
  </si>
  <si>
    <t xml:space="preserve">Marvan</t>
  </si>
  <si>
    <t xml:space="preserve">P113</t>
  </si>
  <si>
    <t xml:space="preserve">Gondolán</t>
  </si>
  <si>
    <t xml:space="preserve">P021</t>
  </si>
  <si>
    <t xml:space="preserve">Mladá</t>
  </si>
  <si>
    <t xml:space="preserve">P127</t>
  </si>
  <si>
    <t xml:space="preserve">Novotný</t>
  </si>
  <si>
    <t xml:space="preserve">P043</t>
  </si>
  <si>
    <t xml:space="preserve">Náhlovská</t>
  </si>
  <si>
    <t xml:space="preserve">P005</t>
  </si>
  <si>
    <t xml:space="preserve">Filipovský</t>
  </si>
  <si>
    <t xml:space="preserve">P119</t>
  </si>
  <si>
    <t xml:space="preserve">Pavelka</t>
  </si>
  <si>
    <t xml:space="preserve">P058</t>
  </si>
  <si>
    <t xml:space="preserve">Smutný</t>
  </si>
  <si>
    <t xml:space="preserve">P040</t>
  </si>
  <si>
    <t xml:space="preserve">Bouše</t>
  </si>
  <si>
    <t xml:space="preserve">P111</t>
  </si>
  <si>
    <t xml:space="preserve">Havelka</t>
  </si>
  <si>
    <t xml:space="preserve">P220</t>
  </si>
  <si>
    <t xml:space="preserve">Hrubá</t>
  </si>
  <si>
    <t xml:space="preserve">P072</t>
  </si>
  <si>
    <t xml:space="preserve">Mladý</t>
  </si>
  <si>
    <t xml:space="preserve">P102</t>
  </si>
  <si>
    <t xml:space="preserve">Včelník</t>
  </si>
  <si>
    <t xml:space="preserve">P060</t>
  </si>
  <si>
    <t xml:space="preserve">Janoušek</t>
  </si>
  <si>
    <t xml:space="preserve">P136</t>
  </si>
  <si>
    <t xml:space="preserve">Staroch</t>
  </si>
  <si>
    <t xml:space="preserve">P035</t>
  </si>
  <si>
    <t xml:space="preserve">Bohatá</t>
  </si>
  <si>
    <t xml:space="preserve">P073</t>
  </si>
  <si>
    <t xml:space="preserve">Janovčík</t>
  </si>
  <si>
    <t xml:space="preserve">P020</t>
  </si>
  <si>
    <t xml:space="preserve">Potůček</t>
  </si>
  <si>
    <t xml:space="preserve">P037</t>
  </si>
  <si>
    <t xml:space="preserve">Trlík</t>
  </si>
  <si>
    <t xml:space="preserve">P031</t>
  </si>
  <si>
    <t xml:space="preserve">Vodička</t>
  </si>
  <si>
    <t xml:space="preserve">P063</t>
  </si>
  <si>
    <t xml:space="preserve">Zouvar</t>
  </si>
  <si>
    <t xml:space="preserve">Datum</t>
  </si>
  <si>
    <t xml:space="preserve">Měsíc</t>
  </si>
  <si>
    <t xml:space="preserve">ID prodeje</t>
  </si>
  <si>
    <t xml:space="preserve">Skupina produktů</t>
  </si>
  <si>
    <t xml:space="preserve">typ fondu</t>
  </si>
  <si>
    <t xml:space="preserve">typ</t>
  </si>
  <si>
    <t xml:space="preserve">region</t>
  </si>
  <si>
    <t xml:space="preserve">výše investice</t>
  </si>
  <si>
    <t xml:space="preserve">investice</t>
  </si>
  <si>
    <t xml:space="preserve">Konzervativní fond</t>
  </si>
  <si>
    <t xml:space="preserve">nákup</t>
  </si>
  <si>
    <t xml:space="preserve">Akciový fond</t>
  </si>
  <si>
    <t xml:space="preserve">Vyvážený  fond</t>
  </si>
  <si>
    <t xml:space="preserve">odkup</t>
  </si>
  <si>
    <t xml:space="preserve">Prodejní plán</t>
  </si>
  <si>
    <t xml:space="preserve">Výše plánu prodejů</t>
  </si>
  <si>
    <t xml:space="preserve">10</t>
  </si>
  <si>
    <t xml:space="preserve">Sum - výše investice</t>
  </si>
  <si>
    <t xml:space="preserve">Plán</t>
  </si>
  <si>
    <t xml:space="preserve">Plnění</t>
  </si>
  <si>
    <t xml:space="preserve">Total Result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</si>
</sst>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/d/yyyy"/>
    <numFmt numFmtId="166" formatCode="#,##0"/>
    <numFmt numFmtId="167" formatCode="mmm\-yy"/>
    <numFmt numFmtId="168" formatCode="#,##0&quot; Kč&quot;"/>
    <numFmt numFmtId="169" formatCode="#,##0\ [$Kč-405];[RED]\-#,##0\ [$Kč-405]"/>
    <numFmt numFmtId="170" formatCode="0.00%"/>
    <numFmt numFmtId="171" formatCode="@"/>
  </numFmts>
  <fonts count="6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38"/>
    </font>
    <font>
      <sz val="11"/>
      <color theme="1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theme="8" tint="0.5999"/>
        <bgColor rgb="FF99CCFF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3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9" fontId="0" fillId="0" borderId="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orner" xfId="21"/>
    <cellStyle name="Pivot Table Value" xfId="22"/>
    <cellStyle name="Pivot Table Category" xfId="23"/>
    <cellStyle name="Pivot Table Title" xfId="24"/>
    <cellStyle name="Pivot Table Result" xfId="2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386640</xdr:colOff>
      <xdr:row>17</xdr:row>
      <xdr:rowOff>106920</xdr:rowOff>
    </xdr:to>
    <xdr:sp>
      <xdr:nvSpPr>
        <xdr:cNvPr id="1" name="TextovéPole 1"/>
        <xdr:cNvSpPr/>
      </xdr:nvSpPr>
      <xdr:spPr>
        <a:xfrm>
          <a:off x="0" y="0"/>
          <a:ext cx="8395200" cy="334548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cs-CZ" sz="1100" strike="noStrike" u="none">
              <a:solidFill>
                <a:schemeClr val="dk1"/>
              </a:solidFill>
              <a:effectLst/>
              <a:uFillTx/>
              <a:latin typeface="Calibri"/>
            </a:rPr>
            <a:t>Zadání:</a:t>
          </a:r>
          <a:endParaRPr b="0" lang="en-US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cs-CZ" sz="1100" strike="noStrike" u="none">
              <a:solidFill>
                <a:schemeClr val="dk1"/>
              </a:solidFill>
              <a:effectLst/>
              <a:uFillTx/>
              <a:latin typeface="Calibri"/>
            </a:rPr>
            <a:t>Pracujete v útaru, jenž zpracovává analýzy prodejů prodejní sítě firmy Investice s.r.o.</a:t>
          </a:r>
          <a:endParaRPr b="0" lang="en-US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cs-CZ" sz="1100" strike="noStrike" u="none">
              <a:solidFill>
                <a:schemeClr val="dk1"/>
              </a:solidFill>
              <a:effectLst/>
              <a:uFillTx/>
              <a:latin typeface="Calibri"/>
            </a:rPr>
            <a:t>Firma Investice s.r.o. funguje jako prodejce investic různých investičních společností koncové klienty. </a:t>
          </a:r>
          <a:endParaRPr b="0" lang="en-US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cs-CZ" sz="1100" strike="noStrike" u="none">
              <a:solidFill>
                <a:schemeClr val="dk1"/>
              </a:solidFill>
              <a:effectLst/>
              <a:uFillTx/>
              <a:latin typeface="Calibri"/>
            </a:rPr>
            <a:t>Samozřejmě jako v každé obchodní firmě, je nastaven prodejní plán za společnost i rozdělení pro jednotlivé regiony. Rozdělení mezi  konkrétní obchodníky v daném regionu je rovnoměrné (detail je na listu Obchodní plán).  </a:t>
          </a:r>
          <a:endParaRPr b="0" lang="en-US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cs-CZ" sz="1100" strike="noStrike" u="none">
              <a:solidFill>
                <a:schemeClr val="dk1"/>
              </a:solidFill>
              <a:effectLst/>
              <a:uFillTx/>
              <a:latin typeface="Calibri"/>
            </a:rPr>
            <a:t>Podkladové informace o realizovaných prodejích, které jste získali z dataskladu máte na dalších listech tohoto souboru.</a:t>
          </a:r>
          <a:endParaRPr b="0" lang="en-US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cs-CZ" sz="1100" strike="noStrike" u="none">
              <a:solidFill>
                <a:schemeClr val="dk1"/>
              </a:solidFill>
              <a:effectLst/>
              <a:uFillTx/>
              <a:latin typeface="Calibri"/>
            </a:rPr>
            <a:t>Na aktuální poradě regionálních manažerů, kde se budou procházet prodejní výsledky společnosti Investice s.r.o.. Vám připadl úkol odprezentovat výsledky prodeje investic za měsíc říjen 2025. Vzhledem k tomu, že bude prezentovat větší počet analytiků, tak se od vás očekává spíše kratší vstup na dané poradě - max. 10 minut.  </a:t>
          </a:r>
          <a:endParaRPr b="0" lang="en-US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18" createdVersion="3">
  <cacheSource type="worksheet">
    <worksheetSource ref="B2:J520" sheet="prodeje"/>
  </cacheSource>
  <cacheFields count="9">
    <cacheField name="Datum" numFmtId="0">
      <sharedItems containsSemiMixedTypes="0" containsNonDate="0" containsDate="1" containsString="0" minDate="2025-09-25T00:00:00" maxDate="2025-11-03T00:00:00" count="36">
        <d v="2025-09-25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1-02T00:00:00"/>
        <d v="2025-11-03T00:00:00"/>
      </sharedItems>
    </cacheField>
    <cacheField name="Měsíc" numFmtId="0">
      <sharedItems containsSemiMixedTypes="0" containsString="0" containsNumber="1" containsInteger="1" minValue="9" maxValue="11" count="3">
        <n v="9"/>
        <n v="10"/>
        <n v="11"/>
      </sharedItems>
    </cacheField>
    <cacheField name="ID prodeje" numFmtId="0">
      <sharedItems containsSemiMixedTypes="0" containsString="0" containsNumber="1" containsInteger="1" minValue="20220003926" maxValue="20220014079" count="517">
        <n v="20220003926"/>
        <n v="20220003929"/>
        <n v="20220003932"/>
        <n v="20220003935"/>
        <n v="20220003938"/>
        <n v="20220003941"/>
        <n v="20220003944"/>
        <n v="20220003947"/>
        <n v="20220003950"/>
        <n v="20220012561"/>
        <n v="20220012563"/>
        <n v="20220012565"/>
        <n v="20220012566"/>
        <n v="20220012572"/>
        <n v="20220012573"/>
        <n v="20220012576"/>
        <n v="20220012579"/>
        <n v="20220012582"/>
        <n v="20220012585"/>
        <n v="20220012588"/>
        <n v="20220012591"/>
        <n v="20220012594"/>
        <n v="20220012597"/>
        <n v="20220012600"/>
        <n v="20220012603"/>
        <n v="20220012606"/>
        <n v="20220012609"/>
        <n v="20220012612"/>
        <n v="20220012615"/>
        <n v="20220012618"/>
        <n v="20220012621"/>
        <n v="20220012624"/>
        <n v="20220012627"/>
        <n v="20220012630"/>
        <n v="20220012633"/>
        <n v="20220012636"/>
        <n v="20220012639"/>
        <n v="20220012642"/>
        <n v="20220012645"/>
        <n v="20220012648"/>
        <n v="20220012651"/>
        <n v="20220012654"/>
        <n v="20220012657"/>
        <n v="20220012660"/>
        <n v="20220012663"/>
        <n v="20220012666"/>
        <n v="20220012669"/>
        <n v="20220012672"/>
        <n v="20220012675"/>
        <n v="20220012678"/>
        <n v="20220012681"/>
        <n v="20220012684"/>
        <n v="20220012687"/>
        <n v="20220012690"/>
        <n v="20220012693"/>
        <n v="20220012696"/>
        <n v="20220012699"/>
        <n v="20220012702"/>
        <n v="20220012705"/>
        <n v="20220012708"/>
        <n v="20220012711"/>
        <n v="20220012714"/>
        <n v="20220012717"/>
        <n v="20220012720"/>
        <n v="20220012723"/>
        <n v="20220012726"/>
        <n v="20220012729"/>
        <n v="20220012732"/>
        <n v="20220012735"/>
        <n v="20220012738"/>
        <n v="20220012741"/>
        <n v="20220012744"/>
        <n v="20220012747"/>
        <n v="20220012750"/>
        <n v="20220012753"/>
        <n v="20220012756"/>
        <n v="20220012759"/>
        <n v="20220012762"/>
        <n v="20220012765"/>
        <n v="20220012768"/>
        <n v="20220012771"/>
        <n v="20220012774"/>
        <n v="20220012777"/>
        <n v="20220012780"/>
        <n v="20220012783"/>
        <n v="20220012786"/>
        <n v="20220012789"/>
        <n v="20220012792"/>
        <n v="20220012795"/>
        <n v="20220012798"/>
        <n v="20220012801"/>
        <n v="20220012804"/>
        <n v="20220012807"/>
        <n v="20220012810"/>
        <n v="20220012813"/>
        <n v="20220012816"/>
        <n v="20220012819"/>
        <n v="20220012822"/>
        <n v="20220012825"/>
        <n v="20220012828"/>
        <n v="20220012831"/>
        <n v="20220012834"/>
        <n v="20220012837"/>
        <n v="20220012840"/>
        <n v="20220012843"/>
        <n v="20220012846"/>
        <n v="20220012849"/>
        <n v="20220012852"/>
        <n v="20220012855"/>
        <n v="20220012858"/>
        <n v="20220012861"/>
        <n v="20220012864"/>
        <n v="20220012867"/>
        <n v="20220012870"/>
        <n v="20220012873"/>
        <n v="20220012876"/>
        <n v="20220012879"/>
        <n v="20220012882"/>
        <n v="20220012885"/>
        <n v="20220012888"/>
        <n v="20220012891"/>
        <n v="20220012894"/>
        <n v="20220012897"/>
        <n v="20220012900"/>
        <n v="20220012903"/>
        <n v="20220012906"/>
        <n v="20220012909"/>
        <n v="20220012912"/>
        <n v="20220012915"/>
        <n v="20220012918"/>
        <n v="20220012921"/>
        <n v="20220012924"/>
        <n v="20220012927"/>
        <n v="20220012930"/>
        <n v="20220012933"/>
        <n v="20220012936"/>
        <n v="20220012939"/>
        <n v="20220012942"/>
        <n v="20220012945"/>
        <n v="20220012948"/>
        <n v="20220012951"/>
        <n v="20220012954"/>
        <n v="20220012957"/>
        <n v="20220012960"/>
        <n v="20220012963"/>
        <n v="20220012966"/>
        <n v="20220012969"/>
        <n v="20220012972"/>
        <n v="20220012975"/>
        <n v="20220012978"/>
        <n v="20220012981"/>
        <n v="20220012984"/>
        <n v="20220012987"/>
        <n v="20220012990"/>
        <n v="20220012993"/>
        <n v="20220012996"/>
        <n v="20220012999"/>
        <n v="20220013002"/>
        <n v="20220013005"/>
        <n v="20220013008"/>
        <n v="20220013011"/>
        <n v="20220013014"/>
        <n v="20220013017"/>
        <n v="20220013020"/>
        <n v="20220013023"/>
        <n v="20220013026"/>
        <n v="20220013029"/>
        <n v="20220013032"/>
        <n v="20220013035"/>
        <n v="20220013038"/>
        <n v="20220013041"/>
        <n v="20220013044"/>
        <n v="20220013047"/>
        <n v="20220013050"/>
        <n v="20220013053"/>
        <n v="20220013056"/>
        <n v="20220013059"/>
        <n v="20220013062"/>
        <n v="20220013065"/>
        <n v="20220013068"/>
        <n v="20220013071"/>
        <n v="20220013074"/>
        <n v="20220013077"/>
        <n v="20220013080"/>
        <n v="20220013083"/>
        <n v="20220013086"/>
        <n v="20220013089"/>
        <n v="20220013092"/>
        <n v="20220013095"/>
        <n v="20220013098"/>
        <n v="20220013101"/>
        <n v="20220013104"/>
        <n v="20220013107"/>
        <n v="20220013110"/>
        <n v="20220013113"/>
        <n v="20220013116"/>
        <n v="20220013119"/>
        <n v="20220013122"/>
        <n v="20220013125"/>
        <n v="20220013128"/>
        <n v="20220013131"/>
        <n v="20220013134"/>
        <n v="20220013137"/>
        <n v="20220013140"/>
        <n v="20220013143"/>
        <n v="20220013146"/>
        <n v="20220013149"/>
        <n v="20220013152"/>
        <n v="20220013155"/>
        <n v="20220013158"/>
        <n v="20220013161"/>
        <n v="20220013164"/>
        <n v="20220013167"/>
        <n v="20220013170"/>
        <n v="20220013173"/>
        <n v="20220013176"/>
        <n v="20220013179"/>
        <n v="20220013182"/>
        <n v="20220013185"/>
        <n v="20220013188"/>
        <n v="20220013191"/>
        <n v="20220013194"/>
        <n v="20220013197"/>
        <n v="20220013200"/>
        <n v="20220013203"/>
        <n v="20220013206"/>
        <n v="20220013209"/>
        <n v="20220013212"/>
        <n v="20220013215"/>
        <n v="20220013218"/>
        <n v="20220013221"/>
        <n v="20220013224"/>
        <n v="20220013227"/>
        <n v="20220013230"/>
        <n v="20220013233"/>
        <n v="20220013236"/>
        <n v="20220013239"/>
        <n v="20220013242"/>
        <n v="20220013245"/>
        <n v="20220013248"/>
        <n v="20220013251"/>
        <n v="20220013254"/>
        <n v="20220013257"/>
        <n v="20220013260"/>
        <n v="20220013263"/>
        <n v="20220013266"/>
        <n v="20220013269"/>
        <n v="20220013272"/>
        <n v="20220013275"/>
        <n v="20220013278"/>
        <n v="20220013281"/>
        <n v="20220013284"/>
        <n v="20220013287"/>
        <n v="20220013290"/>
        <n v="20220013293"/>
        <n v="20220013296"/>
        <n v="20220013299"/>
        <n v="20220013302"/>
        <n v="20220013305"/>
        <n v="20220013308"/>
        <n v="20220013311"/>
        <n v="20220013314"/>
        <n v="20220013317"/>
        <n v="20220013320"/>
        <n v="20220013323"/>
        <n v="20220013326"/>
        <n v="20220013329"/>
        <n v="20220013332"/>
        <n v="20220013335"/>
        <n v="20220013338"/>
        <n v="20220013341"/>
        <n v="20220013344"/>
        <n v="20220013347"/>
        <n v="20220013350"/>
        <n v="20220013353"/>
        <n v="20220013356"/>
        <n v="20220013359"/>
        <n v="20220013362"/>
        <n v="20220013365"/>
        <n v="20220013368"/>
        <n v="20220013371"/>
        <n v="20220013374"/>
        <n v="20220013377"/>
        <n v="20220013380"/>
        <n v="20220013383"/>
        <n v="20220013386"/>
        <n v="20220013389"/>
        <n v="20220013392"/>
        <n v="20220013395"/>
        <n v="20220013398"/>
        <n v="20220013401"/>
        <n v="20220013404"/>
        <n v="20220013407"/>
        <n v="20220013410"/>
        <n v="20220013413"/>
        <n v="20220013416"/>
        <n v="20220013419"/>
        <n v="20220013422"/>
        <n v="20220013425"/>
        <n v="20220013428"/>
        <n v="20220013431"/>
        <n v="20220013434"/>
        <n v="20220013437"/>
        <n v="20220013440"/>
        <n v="20220013443"/>
        <n v="20220013446"/>
        <n v="20220013449"/>
        <n v="20220013452"/>
        <n v="20220013455"/>
        <n v="20220013458"/>
        <n v="20220013461"/>
        <n v="20220013464"/>
        <n v="20220013467"/>
        <n v="20220013470"/>
        <n v="20220013473"/>
        <n v="20220013476"/>
        <n v="20220013479"/>
        <n v="20220013482"/>
        <n v="20220013485"/>
        <n v="20220013488"/>
        <n v="20220013491"/>
        <n v="20220013494"/>
        <n v="20220013497"/>
        <n v="20220013500"/>
        <n v="20220013503"/>
        <n v="20220013506"/>
        <n v="20220013509"/>
        <n v="20220013512"/>
        <n v="20220013515"/>
        <n v="20220013518"/>
        <n v="20220013521"/>
        <n v="20220013524"/>
        <n v="20220013527"/>
        <n v="20220013530"/>
        <n v="20220013533"/>
        <n v="20220013536"/>
        <n v="20220013539"/>
        <n v="20220013542"/>
        <n v="20220013545"/>
        <n v="20220013548"/>
        <n v="20220013551"/>
        <n v="20220013554"/>
        <n v="20220013557"/>
        <n v="20220013560"/>
        <n v="20220013563"/>
        <n v="20220013566"/>
        <n v="20220013569"/>
        <n v="20220013572"/>
        <n v="20220013575"/>
        <n v="20220013578"/>
        <n v="20220013581"/>
        <n v="20220013584"/>
        <n v="20220013587"/>
        <n v="20220013590"/>
        <n v="20220013593"/>
        <n v="20220013596"/>
        <n v="20220013599"/>
        <n v="20220013602"/>
        <n v="20220013605"/>
        <n v="20220013608"/>
        <n v="20220013611"/>
        <n v="20220013614"/>
        <n v="20220013617"/>
        <n v="20220013620"/>
        <n v="20220013623"/>
        <n v="20220013626"/>
        <n v="20220013629"/>
        <n v="20220013632"/>
        <n v="20220013635"/>
        <n v="20220013638"/>
        <n v="20220013641"/>
        <n v="20220013644"/>
        <n v="20220013647"/>
        <n v="20220013650"/>
        <n v="20220013653"/>
        <n v="20220013656"/>
        <n v="20220013659"/>
        <n v="20220013662"/>
        <n v="20220013665"/>
        <n v="20220013668"/>
        <n v="20220013671"/>
        <n v="20220013674"/>
        <n v="20220013677"/>
        <n v="20220013680"/>
        <n v="20220013683"/>
        <n v="20220013686"/>
        <n v="20220013689"/>
        <n v="20220013692"/>
        <n v="20220013695"/>
        <n v="20220013698"/>
        <n v="20220013701"/>
        <n v="20220013704"/>
        <n v="20220013707"/>
        <n v="20220013710"/>
        <n v="20220013713"/>
        <n v="20220013716"/>
        <n v="20220013719"/>
        <n v="20220013722"/>
        <n v="20220013725"/>
        <n v="20220013728"/>
        <n v="20220013731"/>
        <n v="20220013734"/>
        <n v="20220013737"/>
        <n v="20220013740"/>
        <n v="20220013743"/>
        <n v="20220013746"/>
        <n v="20220013749"/>
        <n v="20220013752"/>
        <n v="20220013755"/>
        <n v="20220013758"/>
        <n v="20220013761"/>
        <n v="20220013764"/>
        <n v="20220013767"/>
        <n v="20220013770"/>
        <n v="20220013773"/>
        <n v="20220013776"/>
        <n v="20220013779"/>
        <n v="20220013782"/>
        <n v="20220013785"/>
        <n v="20220013788"/>
        <n v="20220013791"/>
        <n v="20220013794"/>
        <n v="20220013797"/>
        <n v="20220013800"/>
        <n v="20220013803"/>
        <n v="20220013806"/>
        <n v="20220013809"/>
        <n v="20220013812"/>
        <n v="20220013815"/>
        <n v="20220013818"/>
        <n v="20220013821"/>
        <n v="20220013824"/>
        <n v="20220013827"/>
        <n v="20220013830"/>
        <n v="20220013833"/>
        <n v="20220013836"/>
        <n v="20220013839"/>
        <n v="20220013842"/>
        <n v="20220013845"/>
        <n v="20220013848"/>
        <n v="20220013851"/>
        <n v="20220013854"/>
        <n v="20220013857"/>
        <n v="20220013860"/>
        <n v="20220013863"/>
        <n v="20220013866"/>
        <n v="20220013869"/>
        <n v="20220013872"/>
        <n v="20220013875"/>
        <n v="20220013878"/>
        <n v="20220013881"/>
        <n v="20220013884"/>
        <n v="20220013887"/>
        <n v="20220013890"/>
        <n v="20220013893"/>
        <n v="20220013896"/>
        <n v="20220013899"/>
        <n v="20220013902"/>
        <n v="20220013905"/>
        <n v="20220013908"/>
        <n v="20220013911"/>
        <n v="20220013914"/>
        <n v="20220013917"/>
        <n v="20220013920"/>
        <n v="20220013923"/>
        <n v="20220013926"/>
        <n v="20220013929"/>
        <n v="20220013932"/>
        <n v="20220013935"/>
        <n v="20220013938"/>
        <n v="20220013941"/>
        <n v="20220013944"/>
        <n v="20220013947"/>
        <n v="20220013950"/>
        <n v="20220013953"/>
        <n v="20220013956"/>
        <n v="20220013959"/>
        <n v="20220013962"/>
        <n v="20220013965"/>
        <n v="20220013968"/>
        <n v="20220013971"/>
        <n v="20220013974"/>
        <n v="20220013977"/>
        <n v="20220013980"/>
        <n v="20220013983"/>
        <n v="20220013986"/>
        <n v="20220013989"/>
        <n v="20220013992"/>
        <n v="20220013995"/>
        <n v="20220013998"/>
        <n v="20220014001"/>
        <n v="20220014004"/>
        <n v="20220014007"/>
        <n v="20220014010"/>
        <n v="20220014013"/>
        <n v="20220014016"/>
        <n v="20220014019"/>
        <n v="20220014022"/>
        <n v="20220014025"/>
        <n v="20220014028"/>
        <n v="20220014031"/>
        <n v="20220014034"/>
        <n v="20220014037"/>
        <n v="20220014040"/>
        <n v="20220014043"/>
        <n v="20220014046"/>
        <n v="20220014049"/>
        <n v="20220014052"/>
        <n v="20220014055"/>
        <n v="20220014058"/>
        <n v="20220014061"/>
        <n v="20220014064"/>
        <n v="20220014067"/>
        <n v="20220014070"/>
        <n v="20220014073"/>
        <n v="20220014076"/>
        <n v="20220014079"/>
      </sharedItems>
    </cacheField>
    <cacheField name="Skupina produktů" numFmtId="0">
      <sharedItems count="1">
        <s v="investice"/>
      </sharedItems>
    </cacheField>
    <cacheField name="typ fondu" numFmtId="0">
      <sharedItems count="3">
        <s v="Akciový fond"/>
        <s v="Konzervativní fond"/>
        <s v="Vyvážený  fond"/>
      </sharedItems>
    </cacheField>
    <cacheField name="typ" numFmtId="0">
      <sharedItems count="2">
        <s v="nákup"/>
        <s v="odkup"/>
      </sharedItems>
    </cacheField>
    <cacheField name="ID prodejce" numFmtId="0">
      <sharedItems count="28">
        <s v="P002"/>
        <s v="P005"/>
        <s v="P007"/>
        <s v="P008"/>
        <s v="P020"/>
        <s v="P023"/>
        <s v="P031"/>
        <s v="P035"/>
        <s v="P037"/>
        <s v="P040"/>
        <s v="P043"/>
        <s v="P058"/>
        <s v="P059"/>
        <s v="P063"/>
        <s v="P072"/>
        <s v="P073"/>
        <s v="P081"/>
        <s v="P083"/>
        <s v="P088"/>
        <s v="P089"/>
        <s v="P102"/>
        <s v="P111"/>
        <s v="P112"/>
        <s v="P113"/>
        <s v="P127"/>
        <s v="P136"/>
        <s v="P220"/>
        <s v="P222"/>
      </sharedItems>
    </cacheField>
    <cacheField name="region" numFmtId="0">
      <sharedItems count="3">
        <s v="Čechy"/>
        <s v="Morava"/>
        <s v="Praha"/>
      </sharedItems>
    </cacheField>
    <cacheField name="výše investice" numFmtId="0">
      <sharedItems containsSemiMixedTypes="0" containsString="0" containsNumber="1" containsInteger="1" minValue="100000" maxValue="3000000" count="25">
        <n v="100000"/>
        <n v="150000"/>
        <n v="200000"/>
        <n v="250000"/>
        <n v="300000"/>
        <n v="350000"/>
        <n v="450000"/>
        <n v="500000"/>
        <n v="600000"/>
        <n v="750000"/>
        <n v="800000"/>
        <n v="950000"/>
        <n v="1000000"/>
        <n v="1100000"/>
        <n v="1200000"/>
        <n v="1250000"/>
        <n v="1300000"/>
        <n v="1350000"/>
        <n v="1450000"/>
        <n v="1500000"/>
        <n v="1650000"/>
        <n v="1750000"/>
        <n v="2000000"/>
        <n v="2100000"/>
        <n v="3000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8">
  <r>
    <x v="0"/>
    <x v="0"/>
    <x v="0"/>
    <x v="0"/>
    <x v="1"/>
    <x v="0"/>
    <x v="5"/>
    <x v="2"/>
    <x v="0"/>
  </r>
  <r>
    <x v="0"/>
    <x v="0"/>
    <x v="1"/>
    <x v="0"/>
    <x v="1"/>
    <x v="0"/>
    <x v="14"/>
    <x v="2"/>
    <x v="0"/>
  </r>
  <r>
    <x v="0"/>
    <x v="0"/>
    <x v="2"/>
    <x v="0"/>
    <x v="1"/>
    <x v="0"/>
    <x v="14"/>
    <x v="2"/>
    <x v="19"/>
  </r>
  <r>
    <x v="0"/>
    <x v="0"/>
    <x v="3"/>
    <x v="0"/>
    <x v="1"/>
    <x v="0"/>
    <x v="14"/>
    <x v="2"/>
    <x v="19"/>
  </r>
  <r>
    <x v="1"/>
    <x v="0"/>
    <x v="4"/>
    <x v="0"/>
    <x v="1"/>
    <x v="0"/>
    <x v="14"/>
    <x v="2"/>
    <x v="7"/>
  </r>
  <r>
    <x v="1"/>
    <x v="0"/>
    <x v="5"/>
    <x v="0"/>
    <x v="1"/>
    <x v="0"/>
    <x v="4"/>
    <x v="2"/>
    <x v="7"/>
  </r>
  <r>
    <x v="1"/>
    <x v="0"/>
    <x v="6"/>
    <x v="0"/>
    <x v="1"/>
    <x v="0"/>
    <x v="4"/>
    <x v="2"/>
    <x v="12"/>
  </r>
  <r>
    <x v="1"/>
    <x v="0"/>
    <x v="7"/>
    <x v="0"/>
    <x v="0"/>
    <x v="0"/>
    <x v="8"/>
    <x v="2"/>
    <x v="0"/>
  </r>
  <r>
    <x v="2"/>
    <x v="0"/>
    <x v="8"/>
    <x v="0"/>
    <x v="0"/>
    <x v="0"/>
    <x v="6"/>
    <x v="0"/>
    <x v="12"/>
  </r>
  <r>
    <x v="3"/>
    <x v="0"/>
    <x v="9"/>
    <x v="0"/>
    <x v="1"/>
    <x v="0"/>
    <x v="12"/>
    <x v="0"/>
    <x v="3"/>
  </r>
  <r>
    <x v="3"/>
    <x v="0"/>
    <x v="10"/>
    <x v="0"/>
    <x v="2"/>
    <x v="0"/>
    <x v="12"/>
    <x v="0"/>
    <x v="19"/>
  </r>
  <r>
    <x v="3"/>
    <x v="0"/>
    <x v="11"/>
    <x v="0"/>
    <x v="0"/>
    <x v="0"/>
    <x v="12"/>
    <x v="0"/>
    <x v="6"/>
  </r>
  <r>
    <x v="3"/>
    <x v="0"/>
    <x v="12"/>
    <x v="0"/>
    <x v="0"/>
    <x v="0"/>
    <x v="23"/>
    <x v="1"/>
    <x v="12"/>
  </r>
  <r>
    <x v="4"/>
    <x v="1"/>
    <x v="13"/>
    <x v="0"/>
    <x v="0"/>
    <x v="0"/>
    <x v="6"/>
    <x v="0"/>
    <x v="18"/>
  </r>
  <r>
    <x v="4"/>
    <x v="1"/>
    <x v="14"/>
    <x v="0"/>
    <x v="0"/>
    <x v="0"/>
    <x v="6"/>
    <x v="0"/>
    <x v="4"/>
  </r>
  <r>
    <x v="5"/>
    <x v="1"/>
    <x v="15"/>
    <x v="0"/>
    <x v="0"/>
    <x v="0"/>
    <x v="23"/>
    <x v="1"/>
    <x v="14"/>
  </r>
  <r>
    <x v="5"/>
    <x v="1"/>
    <x v="16"/>
    <x v="0"/>
    <x v="1"/>
    <x v="0"/>
    <x v="18"/>
    <x v="0"/>
    <x v="4"/>
  </r>
  <r>
    <x v="5"/>
    <x v="1"/>
    <x v="17"/>
    <x v="0"/>
    <x v="1"/>
    <x v="0"/>
    <x v="14"/>
    <x v="2"/>
    <x v="22"/>
  </r>
  <r>
    <x v="5"/>
    <x v="1"/>
    <x v="18"/>
    <x v="0"/>
    <x v="0"/>
    <x v="0"/>
    <x v="21"/>
    <x v="1"/>
    <x v="9"/>
  </r>
  <r>
    <x v="5"/>
    <x v="1"/>
    <x v="19"/>
    <x v="0"/>
    <x v="0"/>
    <x v="0"/>
    <x v="21"/>
    <x v="1"/>
    <x v="4"/>
  </r>
  <r>
    <x v="5"/>
    <x v="1"/>
    <x v="20"/>
    <x v="0"/>
    <x v="0"/>
    <x v="0"/>
    <x v="7"/>
    <x v="0"/>
    <x v="19"/>
  </r>
  <r>
    <x v="5"/>
    <x v="1"/>
    <x v="21"/>
    <x v="0"/>
    <x v="0"/>
    <x v="0"/>
    <x v="24"/>
    <x v="1"/>
    <x v="8"/>
  </r>
  <r>
    <x v="5"/>
    <x v="1"/>
    <x v="22"/>
    <x v="0"/>
    <x v="0"/>
    <x v="0"/>
    <x v="24"/>
    <x v="1"/>
    <x v="8"/>
  </r>
  <r>
    <x v="5"/>
    <x v="1"/>
    <x v="23"/>
    <x v="0"/>
    <x v="1"/>
    <x v="0"/>
    <x v="2"/>
    <x v="2"/>
    <x v="12"/>
  </r>
  <r>
    <x v="5"/>
    <x v="1"/>
    <x v="24"/>
    <x v="0"/>
    <x v="1"/>
    <x v="0"/>
    <x v="5"/>
    <x v="2"/>
    <x v="19"/>
  </r>
  <r>
    <x v="5"/>
    <x v="1"/>
    <x v="25"/>
    <x v="0"/>
    <x v="1"/>
    <x v="0"/>
    <x v="14"/>
    <x v="2"/>
    <x v="0"/>
  </r>
  <r>
    <x v="5"/>
    <x v="1"/>
    <x v="26"/>
    <x v="0"/>
    <x v="1"/>
    <x v="0"/>
    <x v="18"/>
    <x v="0"/>
    <x v="0"/>
  </r>
  <r>
    <x v="5"/>
    <x v="1"/>
    <x v="27"/>
    <x v="0"/>
    <x v="1"/>
    <x v="0"/>
    <x v="18"/>
    <x v="0"/>
    <x v="12"/>
  </r>
  <r>
    <x v="5"/>
    <x v="1"/>
    <x v="28"/>
    <x v="0"/>
    <x v="0"/>
    <x v="0"/>
    <x v="18"/>
    <x v="0"/>
    <x v="3"/>
  </r>
  <r>
    <x v="5"/>
    <x v="1"/>
    <x v="29"/>
    <x v="0"/>
    <x v="1"/>
    <x v="0"/>
    <x v="2"/>
    <x v="2"/>
    <x v="4"/>
  </r>
  <r>
    <x v="5"/>
    <x v="1"/>
    <x v="30"/>
    <x v="0"/>
    <x v="1"/>
    <x v="0"/>
    <x v="5"/>
    <x v="2"/>
    <x v="12"/>
  </r>
  <r>
    <x v="5"/>
    <x v="1"/>
    <x v="31"/>
    <x v="0"/>
    <x v="1"/>
    <x v="0"/>
    <x v="5"/>
    <x v="2"/>
    <x v="22"/>
  </r>
  <r>
    <x v="5"/>
    <x v="1"/>
    <x v="32"/>
    <x v="0"/>
    <x v="1"/>
    <x v="0"/>
    <x v="21"/>
    <x v="1"/>
    <x v="6"/>
  </r>
  <r>
    <x v="5"/>
    <x v="1"/>
    <x v="33"/>
    <x v="0"/>
    <x v="1"/>
    <x v="0"/>
    <x v="21"/>
    <x v="1"/>
    <x v="6"/>
  </r>
  <r>
    <x v="5"/>
    <x v="1"/>
    <x v="34"/>
    <x v="0"/>
    <x v="1"/>
    <x v="0"/>
    <x v="21"/>
    <x v="1"/>
    <x v="18"/>
  </r>
  <r>
    <x v="5"/>
    <x v="1"/>
    <x v="35"/>
    <x v="0"/>
    <x v="1"/>
    <x v="1"/>
    <x v="24"/>
    <x v="1"/>
    <x v="8"/>
  </r>
  <r>
    <x v="5"/>
    <x v="1"/>
    <x v="36"/>
    <x v="0"/>
    <x v="1"/>
    <x v="1"/>
    <x v="24"/>
    <x v="1"/>
    <x v="8"/>
  </r>
  <r>
    <x v="5"/>
    <x v="1"/>
    <x v="37"/>
    <x v="0"/>
    <x v="1"/>
    <x v="1"/>
    <x v="24"/>
    <x v="1"/>
    <x v="8"/>
  </r>
  <r>
    <x v="5"/>
    <x v="1"/>
    <x v="38"/>
    <x v="0"/>
    <x v="2"/>
    <x v="0"/>
    <x v="18"/>
    <x v="0"/>
    <x v="20"/>
  </r>
  <r>
    <x v="5"/>
    <x v="1"/>
    <x v="39"/>
    <x v="0"/>
    <x v="2"/>
    <x v="0"/>
    <x v="18"/>
    <x v="0"/>
    <x v="6"/>
  </r>
  <r>
    <x v="5"/>
    <x v="1"/>
    <x v="40"/>
    <x v="0"/>
    <x v="2"/>
    <x v="0"/>
    <x v="18"/>
    <x v="0"/>
    <x v="6"/>
  </r>
  <r>
    <x v="5"/>
    <x v="1"/>
    <x v="41"/>
    <x v="0"/>
    <x v="0"/>
    <x v="0"/>
    <x v="5"/>
    <x v="2"/>
    <x v="12"/>
  </r>
  <r>
    <x v="5"/>
    <x v="1"/>
    <x v="42"/>
    <x v="0"/>
    <x v="0"/>
    <x v="0"/>
    <x v="14"/>
    <x v="2"/>
    <x v="0"/>
  </r>
  <r>
    <x v="5"/>
    <x v="1"/>
    <x v="43"/>
    <x v="0"/>
    <x v="0"/>
    <x v="0"/>
    <x v="14"/>
    <x v="2"/>
    <x v="0"/>
  </r>
  <r>
    <x v="5"/>
    <x v="1"/>
    <x v="44"/>
    <x v="0"/>
    <x v="2"/>
    <x v="0"/>
    <x v="21"/>
    <x v="1"/>
    <x v="12"/>
  </r>
  <r>
    <x v="5"/>
    <x v="1"/>
    <x v="45"/>
    <x v="0"/>
    <x v="2"/>
    <x v="0"/>
    <x v="21"/>
    <x v="1"/>
    <x v="12"/>
  </r>
  <r>
    <x v="5"/>
    <x v="1"/>
    <x v="46"/>
    <x v="0"/>
    <x v="2"/>
    <x v="0"/>
    <x v="21"/>
    <x v="1"/>
    <x v="12"/>
  </r>
  <r>
    <x v="5"/>
    <x v="1"/>
    <x v="47"/>
    <x v="0"/>
    <x v="2"/>
    <x v="0"/>
    <x v="23"/>
    <x v="1"/>
    <x v="3"/>
  </r>
  <r>
    <x v="5"/>
    <x v="1"/>
    <x v="48"/>
    <x v="0"/>
    <x v="2"/>
    <x v="0"/>
    <x v="18"/>
    <x v="0"/>
    <x v="3"/>
  </r>
  <r>
    <x v="5"/>
    <x v="1"/>
    <x v="49"/>
    <x v="0"/>
    <x v="2"/>
    <x v="0"/>
    <x v="18"/>
    <x v="0"/>
    <x v="3"/>
  </r>
  <r>
    <x v="5"/>
    <x v="1"/>
    <x v="50"/>
    <x v="0"/>
    <x v="2"/>
    <x v="0"/>
    <x v="18"/>
    <x v="0"/>
    <x v="12"/>
  </r>
  <r>
    <x v="5"/>
    <x v="1"/>
    <x v="51"/>
    <x v="0"/>
    <x v="2"/>
    <x v="0"/>
    <x v="18"/>
    <x v="0"/>
    <x v="0"/>
  </r>
  <r>
    <x v="5"/>
    <x v="1"/>
    <x v="52"/>
    <x v="0"/>
    <x v="2"/>
    <x v="0"/>
    <x v="18"/>
    <x v="0"/>
    <x v="0"/>
  </r>
  <r>
    <x v="5"/>
    <x v="1"/>
    <x v="53"/>
    <x v="0"/>
    <x v="2"/>
    <x v="0"/>
    <x v="8"/>
    <x v="2"/>
    <x v="0"/>
  </r>
  <r>
    <x v="5"/>
    <x v="1"/>
    <x v="54"/>
    <x v="0"/>
    <x v="2"/>
    <x v="0"/>
    <x v="8"/>
    <x v="2"/>
    <x v="0"/>
  </r>
  <r>
    <x v="5"/>
    <x v="1"/>
    <x v="55"/>
    <x v="0"/>
    <x v="2"/>
    <x v="0"/>
    <x v="8"/>
    <x v="2"/>
    <x v="12"/>
  </r>
  <r>
    <x v="5"/>
    <x v="1"/>
    <x v="56"/>
    <x v="0"/>
    <x v="2"/>
    <x v="0"/>
    <x v="4"/>
    <x v="2"/>
    <x v="2"/>
  </r>
  <r>
    <x v="5"/>
    <x v="1"/>
    <x v="57"/>
    <x v="0"/>
    <x v="0"/>
    <x v="0"/>
    <x v="0"/>
    <x v="2"/>
    <x v="9"/>
  </r>
  <r>
    <x v="6"/>
    <x v="1"/>
    <x v="58"/>
    <x v="0"/>
    <x v="0"/>
    <x v="0"/>
    <x v="2"/>
    <x v="2"/>
    <x v="3"/>
  </r>
  <r>
    <x v="6"/>
    <x v="1"/>
    <x v="59"/>
    <x v="0"/>
    <x v="0"/>
    <x v="0"/>
    <x v="20"/>
    <x v="2"/>
    <x v="3"/>
  </r>
  <r>
    <x v="6"/>
    <x v="1"/>
    <x v="60"/>
    <x v="0"/>
    <x v="0"/>
    <x v="0"/>
    <x v="13"/>
    <x v="2"/>
    <x v="0"/>
  </r>
  <r>
    <x v="6"/>
    <x v="1"/>
    <x v="61"/>
    <x v="0"/>
    <x v="0"/>
    <x v="0"/>
    <x v="5"/>
    <x v="2"/>
    <x v="12"/>
  </r>
  <r>
    <x v="6"/>
    <x v="1"/>
    <x v="62"/>
    <x v="0"/>
    <x v="2"/>
    <x v="0"/>
    <x v="14"/>
    <x v="2"/>
    <x v="8"/>
  </r>
  <r>
    <x v="6"/>
    <x v="1"/>
    <x v="63"/>
    <x v="0"/>
    <x v="2"/>
    <x v="0"/>
    <x v="14"/>
    <x v="2"/>
    <x v="8"/>
  </r>
  <r>
    <x v="6"/>
    <x v="1"/>
    <x v="64"/>
    <x v="0"/>
    <x v="0"/>
    <x v="0"/>
    <x v="19"/>
    <x v="2"/>
    <x v="12"/>
  </r>
  <r>
    <x v="6"/>
    <x v="1"/>
    <x v="65"/>
    <x v="0"/>
    <x v="0"/>
    <x v="0"/>
    <x v="19"/>
    <x v="2"/>
    <x v="4"/>
  </r>
  <r>
    <x v="6"/>
    <x v="1"/>
    <x v="66"/>
    <x v="0"/>
    <x v="2"/>
    <x v="0"/>
    <x v="14"/>
    <x v="2"/>
    <x v="0"/>
  </r>
  <r>
    <x v="6"/>
    <x v="1"/>
    <x v="67"/>
    <x v="0"/>
    <x v="0"/>
    <x v="0"/>
    <x v="2"/>
    <x v="2"/>
    <x v="22"/>
  </r>
  <r>
    <x v="6"/>
    <x v="1"/>
    <x v="68"/>
    <x v="0"/>
    <x v="0"/>
    <x v="0"/>
    <x v="8"/>
    <x v="2"/>
    <x v="0"/>
  </r>
  <r>
    <x v="6"/>
    <x v="1"/>
    <x v="69"/>
    <x v="0"/>
    <x v="0"/>
    <x v="0"/>
    <x v="6"/>
    <x v="0"/>
    <x v="4"/>
  </r>
  <r>
    <x v="7"/>
    <x v="1"/>
    <x v="70"/>
    <x v="0"/>
    <x v="0"/>
    <x v="0"/>
    <x v="23"/>
    <x v="1"/>
    <x v="12"/>
  </r>
  <r>
    <x v="7"/>
    <x v="1"/>
    <x v="71"/>
    <x v="0"/>
    <x v="0"/>
    <x v="0"/>
    <x v="11"/>
    <x v="2"/>
    <x v="0"/>
  </r>
  <r>
    <x v="7"/>
    <x v="1"/>
    <x v="72"/>
    <x v="0"/>
    <x v="2"/>
    <x v="0"/>
    <x v="13"/>
    <x v="2"/>
    <x v="7"/>
  </r>
  <r>
    <x v="7"/>
    <x v="1"/>
    <x v="73"/>
    <x v="0"/>
    <x v="2"/>
    <x v="0"/>
    <x v="13"/>
    <x v="2"/>
    <x v="0"/>
  </r>
  <r>
    <x v="7"/>
    <x v="1"/>
    <x v="74"/>
    <x v="0"/>
    <x v="0"/>
    <x v="0"/>
    <x v="13"/>
    <x v="2"/>
    <x v="8"/>
  </r>
  <r>
    <x v="7"/>
    <x v="1"/>
    <x v="75"/>
    <x v="0"/>
    <x v="0"/>
    <x v="0"/>
    <x v="2"/>
    <x v="2"/>
    <x v="8"/>
  </r>
  <r>
    <x v="7"/>
    <x v="1"/>
    <x v="76"/>
    <x v="0"/>
    <x v="0"/>
    <x v="0"/>
    <x v="11"/>
    <x v="2"/>
    <x v="3"/>
  </r>
  <r>
    <x v="7"/>
    <x v="1"/>
    <x v="77"/>
    <x v="0"/>
    <x v="0"/>
    <x v="0"/>
    <x v="11"/>
    <x v="2"/>
    <x v="3"/>
  </r>
  <r>
    <x v="7"/>
    <x v="1"/>
    <x v="78"/>
    <x v="0"/>
    <x v="2"/>
    <x v="0"/>
    <x v="0"/>
    <x v="2"/>
    <x v="0"/>
  </r>
  <r>
    <x v="7"/>
    <x v="1"/>
    <x v="79"/>
    <x v="0"/>
    <x v="2"/>
    <x v="0"/>
    <x v="2"/>
    <x v="2"/>
    <x v="12"/>
  </r>
  <r>
    <x v="7"/>
    <x v="1"/>
    <x v="80"/>
    <x v="0"/>
    <x v="0"/>
    <x v="0"/>
    <x v="1"/>
    <x v="1"/>
    <x v="5"/>
  </r>
  <r>
    <x v="7"/>
    <x v="1"/>
    <x v="81"/>
    <x v="0"/>
    <x v="0"/>
    <x v="0"/>
    <x v="19"/>
    <x v="2"/>
    <x v="17"/>
  </r>
  <r>
    <x v="7"/>
    <x v="1"/>
    <x v="82"/>
    <x v="0"/>
    <x v="1"/>
    <x v="0"/>
    <x v="11"/>
    <x v="2"/>
    <x v="8"/>
  </r>
  <r>
    <x v="7"/>
    <x v="1"/>
    <x v="83"/>
    <x v="0"/>
    <x v="1"/>
    <x v="0"/>
    <x v="11"/>
    <x v="2"/>
    <x v="8"/>
  </r>
  <r>
    <x v="7"/>
    <x v="1"/>
    <x v="84"/>
    <x v="0"/>
    <x v="2"/>
    <x v="0"/>
    <x v="14"/>
    <x v="2"/>
    <x v="12"/>
  </r>
  <r>
    <x v="7"/>
    <x v="1"/>
    <x v="85"/>
    <x v="0"/>
    <x v="2"/>
    <x v="0"/>
    <x v="14"/>
    <x v="2"/>
    <x v="0"/>
  </r>
  <r>
    <x v="7"/>
    <x v="1"/>
    <x v="86"/>
    <x v="0"/>
    <x v="2"/>
    <x v="0"/>
    <x v="2"/>
    <x v="2"/>
    <x v="0"/>
  </r>
  <r>
    <x v="7"/>
    <x v="1"/>
    <x v="87"/>
    <x v="0"/>
    <x v="2"/>
    <x v="0"/>
    <x v="0"/>
    <x v="2"/>
    <x v="12"/>
  </r>
  <r>
    <x v="7"/>
    <x v="1"/>
    <x v="88"/>
    <x v="0"/>
    <x v="2"/>
    <x v="1"/>
    <x v="11"/>
    <x v="2"/>
    <x v="3"/>
  </r>
  <r>
    <x v="7"/>
    <x v="1"/>
    <x v="89"/>
    <x v="0"/>
    <x v="2"/>
    <x v="1"/>
    <x v="11"/>
    <x v="2"/>
    <x v="3"/>
  </r>
  <r>
    <x v="7"/>
    <x v="1"/>
    <x v="90"/>
    <x v="0"/>
    <x v="2"/>
    <x v="0"/>
    <x v="2"/>
    <x v="2"/>
    <x v="0"/>
  </r>
  <r>
    <x v="7"/>
    <x v="1"/>
    <x v="91"/>
    <x v="0"/>
    <x v="2"/>
    <x v="0"/>
    <x v="14"/>
    <x v="2"/>
    <x v="7"/>
  </r>
  <r>
    <x v="7"/>
    <x v="1"/>
    <x v="92"/>
    <x v="0"/>
    <x v="1"/>
    <x v="1"/>
    <x v="11"/>
    <x v="2"/>
    <x v="8"/>
  </r>
  <r>
    <x v="7"/>
    <x v="1"/>
    <x v="93"/>
    <x v="0"/>
    <x v="1"/>
    <x v="1"/>
    <x v="11"/>
    <x v="2"/>
    <x v="8"/>
  </r>
  <r>
    <x v="7"/>
    <x v="1"/>
    <x v="94"/>
    <x v="0"/>
    <x v="0"/>
    <x v="0"/>
    <x v="9"/>
    <x v="0"/>
    <x v="0"/>
  </r>
  <r>
    <x v="7"/>
    <x v="1"/>
    <x v="95"/>
    <x v="0"/>
    <x v="0"/>
    <x v="0"/>
    <x v="9"/>
    <x v="0"/>
    <x v="12"/>
  </r>
  <r>
    <x v="7"/>
    <x v="1"/>
    <x v="96"/>
    <x v="0"/>
    <x v="0"/>
    <x v="0"/>
    <x v="9"/>
    <x v="0"/>
    <x v="12"/>
  </r>
  <r>
    <x v="7"/>
    <x v="1"/>
    <x v="97"/>
    <x v="0"/>
    <x v="0"/>
    <x v="0"/>
    <x v="9"/>
    <x v="0"/>
    <x v="12"/>
  </r>
  <r>
    <x v="7"/>
    <x v="1"/>
    <x v="98"/>
    <x v="0"/>
    <x v="2"/>
    <x v="0"/>
    <x v="0"/>
    <x v="2"/>
    <x v="12"/>
  </r>
  <r>
    <x v="7"/>
    <x v="1"/>
    <x v="99"/>
    <x v="0"/>
    <x v="2"/>
    <x v="1"/>
    <x v="10"/>
    <x v="1"/>
    <x v="0"/>
  </r>
  <r>
    <x v="7"/>
    <x v="1"/>
    <x v="100"/>
    <x v="0"/>
    <x v="2"/>
    <x v="0"/>
    <x v="3"/>
    <x v="0"/>
    <x v="3"/>
  </r>
  <r>
    <x v="7"/>
    <x v="1"/>
    <x v="101"/>
    <x v="0"/>
    <x v="2"/>
    <x v="0"/>
    <x v="3"/>
    <x v="0"/>
    <x v="3"/>
  </r>
  <r>
    <x v="7"/>
    <x v="1"/>
    <x v="102"/>
    <x v="0"/>
    <x v="0"/>
    <x v="0"/>
    <x v="16"/>
    <x v="0"/>
    <x v="12"/>
  </r>
  <r>
    <x v="7"/>
    <x v="1"/>
    <x v="103"/>
    <x v="0"/>
    <x v="0"/>
    <x v="0"/>
    <x v="16"/>
    <x v="0"/>
    <x v="0"/>
  </r>
  <r>
    <x v="7"/>
    <x v="1"/>
    <x v="104"/>
    <x v="0"/>
    <x v="1"/>
    <x v="0"/>
    <x v="11"/>
    <x v="2"/>
    <x v="15"/>
  </r>
  <r>
    <x v="7"/>
    <x v="1"/>
    <x v="105"/>
    <x v="0"/>
    <x v="1"/>
    <x v="0"/>
    <x v="11"/>
    <x v="2"/>
    <x v="3"/>
  </r>
  <r>
    <x v="7"/>
    <x v="1"/>
    <x v="106"/>
    <x v="0"/>
    <x v="2"/>
    <x v="0"/>
    <x v="1"/>
    <x v="1"/>
    <x v="8"/>
  </r>
  <r>
    <x v="7"/>
    <x v="1"/>
    <x v="107"/>
    <x v="0"/>
    <x v="2"/>
    <x v="0"/>
    <x v="9"/>
    <x v="0"/>
    <x v="8"/>
  </r>
  <r>
    <x v="7"/>
    <x v="1"/>
    <x v="108"/>
    <x v="0"/>
    <x v="0"/>
    <x v="0"/>
    <x v="9"/>
    <x v="0"/>
    <x v="12"/>
  </r>
  <r>
    <x v="7"/>
    <x v="1"/>
    <x v="109"/>
    <x v="0"/>
    <x v="0"/>
    <x v="0"/>
    <x v="9"/>
    <x v="0"/>
    <x v="0"/>
  </r>
  <r>
    <x v="7"/>
    <x v="1"/>
    <x v="110"/>
    <x v="0"/>
    <x v="0"/>
    <x v="0"/>
    <x v="10"/>
    <x v="1"/>
    <x v="0"/>
  </r>
  <r>
    <x v="7"/>
    <x v="1"/>
    <x v="111"/>
    <x v="0"/>
    <x v="0"/>
    <x v="0"/>
    <x v="10"/>
    <x v="1"/>
    <x v="0"/>
  </r>
  <r>
    <x v="7"/>
    <x v="1"/>
    <x v="112"/>
    <x v="0"/>
    <x v="0"/>
    <x v="1"/>
    <x v="22"/>
    <x v="1"/>
    <x v="15"/>
  </r>
  <r>
    <x v="7"/>
    <x v="1"/>
    <x v="113"/>
    <x v="0"/>
    <x v="0"/>
    <x v="1"/>
    <x v="22"/>
    <x v="1"/>
    <x v="3"/>
  </r>
  <r>
    <x v="7"/>
    <x v="1"/>
    <x v="114"/>
    <x v="0"/>
    <x v="0"/>
    <x v="0"/>
    <x v="10"/>
    <x v="1"/>
    <x v="12"/>
  </r>
  <r>
    <x v="7"/>
    <x v="1"/>
    <x v="115"/>
    <x v="0"/>
    <x v="0"/>
    <x v="0"/>
    <x v="10"/>
    <x v="1"/>
    <x v="0"/>
  </r>
  <r>
    <x v="7"/>
    <x v="1"/>
    <x v="116"/>
    <x v="0"/>
    <x v="2"/>
    <x v="0"/>
    <x v="10"/>
    <x v="1"/>
    <x v="0"/>
  </r>
  <r>
    <x v="7"/>
    <x v="1"/>
    <x v="117"/>
    <x v="0"/>
    <x v="2"/>
    <x v="0"/>
    <x v="10"/>
    <x v="1"/>
    <x v="0"/>
  </r>
  <r>
    <x v="7"/>
    <x v="1"/>
    <x v="118"/>
    <x v="0"/>
    <x v="1"/>
    <x v="0"/>
    <x v="22"/>
    <x v="1"/>
    <x v="3"/>
  </r>
  <r>
    <x v="7"/>
    <x v="1"/>
    <x v="119"/>
    <x v="0"/>
    <x v="1"/>
    <x v="0"/>
    <x v="22"/>
    <x v="1"/>
    <x v="3"/>
  </r>
  <r>
    <x v="7"/>
    <x v="1"/>
    <x v="120"/>
    <x v="0"/>
    <x v="2"/>
    <x v="0"/>
    <x v="11"/>
    <x v="2"/>
    <x v="19"/>
  </r>
  <r>
    <x v="7"/>
    <x v="1"/>
    <x v="121"/>
    <x v="0"/>
    <x v="2"/>
    <x v="0"/>
    <x v="11"/>
    <x v="2"/>
    <x v="0"/>
  </r>
  <r>
    <x v="7"/>
    <x v="1"/>
    <x v="122"/>
    <x v="0"/>
    <x v="1"/>
    <x v="1"/>
    <x v="0"/>
    <x v="2"/>
    <x v="12"/>
  </r>
  <r>
    <x v="7"/>
    <x v="1"/>
    <x v="123"/>
    <x v="0"/>
    <x v="1"/>
    <x v="1"/>
    <x v="8"/>
    <x v="2"/>
    <x v="12"/>
  </r>
  <r>
    <x v="7"/>
    <x v="1"/>
    <x v="124"/>
    <x v="0"/>
    <x v="2"/>
    <x v="1"/>
    <x v="8"/>
    <x v="2"/>
    <x v="0"/>
  </r>
  <r>
    <x v="7"/>
    <x v="1"/>
    <x v="125"/>
    <x v="0"/>
    <x v="2"/>
    <x v="1"/>
    <x v="14"/>
    <x v="2"/>
    <x v="0"/>
  </r>
  <r>
    <x v="7"/>
    <x v="1"/>
    <x v="126"/>
    <x v="0"/>
    <x v="2"/>
    <x v="0"/>
    <x v="19"/>
    <x v="2"/>
    <x v="0"/>
  </r>
  <r>
    <x v="7"/>
    <x v="1"/>
    <x v="127"/>
    <x v="0"/>
    <x v="2"/>
    <x v="0"/>
    <x v="19"/>
    <x v="2"/>
    <x v="12"/>
  </r>
  <r>
    <x v="7"/>
    <x v="1"/>
    <x v="128"/>
    <x v="0"/>
    <x v="1"/>
    <x v="1"/>
    <x v="19"/>
    <x v="2"/>
    <x v="0"/>
  </r>
  <r>
    <x v="7"/>
    <x v="1"/>
    <x v="129"/>
    <x v="0"/>
    <x v="1"/>
    <x v="1"/>
    <x v="19"/>
    <x v="2"/>
    <x v="0"/>
  </r>
  <r>
    <x v="7"/>
    <x v="1"/>
    <x v="130"/>
    <x v="0"/>
    <x v="0"/>
    <x v="0"/>
    <x v="19"/>
    <x v="2"/>
    <x v="12"/>
  </r>
  <r>
    <x v="7"/>
    <x v="1"/>
    <x v="131"/>
    <x v="0"/>
    <x v="0"/>
    <x v="0"/>
    <x v="19"/>
    <x v="2"/>
    <x v="12"/>
  </r>
  <r>
    <x v="7"/>
    <x v="1"/>
    <x v="132"/>
    <x v="0"/>
    <x v="0"/>
    <x v="0"/>
    <x v="19"/>
    <x v="2"/>
    <x v="0"/>
  </r>
  <r>
    <x v="7"/>
    <x v="1"/>
    <x v="133"/>
    <x v="0"/>
    <x v="0"/>
    <x v="0"/>
    <x v="19"/>
    <x v="2"/>
    <x v="12"/>
  </r>
  <r>
    <x v="7"/>
    <x v="1"/>
    <x v="134"/>
    <x v="0"/>
    <x v="0"/>
    <x v="0"/>
    <x v="19"/>
    <x v="2"/>
    <x v="0"/>
  </r>
  <r>
    <x v="7"/>
    <x v="1"/>
    <x v="135"/>
    <x v="0"/>
    <x v="2"/>
    <x v="0"/>
    <x v="17"/>
    <x v="0"/>
    <x v="7"/>
  </r>
  <r>
    <x v="7"/>
    <x v="1"/>
    <x v="136"/>
    <x v="0"/>
    <x v="1"/>
    <x v="1"/>
    <x v="17"/>
    <x v="0"/>
    <x v="0"/>
  </r>
  <r>
    <x v="7"/>
    <x v="1"/>
    <x v="137"/>
    <x v="0"/>
    <x v="2"/>
    <x v="1"/>
    <x v="17"/>
    <x v="0"/>
    <x v="0"/>
  </r>
  <r>
    <x v="8"/>
    <x v="1"/>
    <x v="138"/>
    <x v="0"/>
    <x v="2"/>
    <x v="0"/>
    <x v="7"/>
    <x v="0"/>
    <x v="0"/>
  </r>
  <r>
    <x v="8"/>
    <x v="1"/>
    <x v="139"/>
    <x v="0"/>
    <x v="0"/>
    <x v="0"/>
    <x v="23"/>
    <x v="1"/>
    <x v="4"/>
  </r>
  <r>
    <x v="9"/>
    <x v="1"/>
    <x v="140"/>
    <x v="0"/>
    <x v="2"/>
    <x v="0"/>
    <x v="4"/>
    <x v="2"/>
    <x v="12"/>
  </r>
  <r>
    <x v="9"/>
    <x v="1"/>
    <x v="141"/>
    <x v="0"/>
    <x v="2"/>
    <x v="0"/>
    <x v="9"/>
    <x v="0"/>
    <x v="0"/>
  </r>
  <r>
    <x v="9"/>
    <x v="1"/>
    <x v="142"/>
    <x v="0"/>
    <x v="1"/>
    <x v="1"/>
    <x v="15"/>
    <x v="1"/>
    <x v="3"/>
  </r>
  <r>
    <x v="9"/>
    <x v="1"/>
    <x v="143"/>
    <x v="0"/>
    <x v="1"/>
    <x v="0"/>
    <x v="9"/>
    <x v="0"/>
    <x v="0"/>
  </r>
  <r>
    <x v="9"/>
    <x v="1"/>
    <x v="144"/>
    <x v="0"/>
    <x v="2"/>
    <x v="0"/>
    <x v="15"/>
    <x v="1"/>
    <x v="8"/>
  </r>
  <r>
    <x v="9"/>
    <x v="1"/>
    <x v="145"/>
    <x v="0"/>
    <x v="0"/>
    <x v="0"/>
    <x v="9"/>
    <x v="0"/>
    <x v="8"/>
  </r>
  <r>
    <x v="9"/>
    <x v="1"/>
    <x v="146"/>
    <x v="0"/>
    <x v="0"/>
    <x v="0"/>
    <x v="15"/>
    <x v="1"/>
    <x v="0"/>
  </r>
  <r>
    <x v="9"/>
    <x v="1"/>
    <x v="147"/>
    <x v="0"/>
    <x v="0"/>
    <x v="0"/>
    <x v="15"/>
    <x v="1"/>
    <x v="12"/>
  </r>
  <r>
    <x v="9"/>
    <x v="1"/>
    <x v="148"/>
    <x v="0"/>
    <x v="2"/>
    <x v="0"/>
    <x v="9"/>
    <x v="0"/>
    <x v="0"/>
  </r>
  <r>
    <x v="9"/>
    <x v="1"/>
    <x v="149"/>
    <x v="0"/>
    <x v="1"/>
    <x v="0"/>
    <x v="15"/>
    <x v="1"/>
    <x v="8"/>
  </r>
  <r>
    <x v="9"/>
    <x v="1"/>
    <x v="150"/>
    <x v="0"/>
    <x v="1"/>
    <x v="0"/>
    <x v="10"/>
    <x v="1"/>
    <x v="0"/>
  </r>
  <r>
    <x v="9"/>
    <x v="1"/>
    <x v="151"/>
    <x v="0"/>
    <x v="2"/>
    <x v="0"/>
    <x v="27"/>
    <x v="1"/>
    <x v="0"/>
  </r>
  <r>
    <x v="9"/>
    <x v="1"/>
    <x v="152"/>
    <x v="0"/>
    <x v="1"/>
    <x v="1"/>
    <x v="9"/>
    <x v="0"/>
    <x v="0"/>
  </r>
  <r>
    <x v="9"/>
    <x v="1"/>
    <x v="153"/>
    <x v="0"/>
    <x v="2"/>
    <x v="0"/>
    <x v="15"/>
    <x v="1"/>
    <x v="12"/>
  </r>
  <r>
    <x v="9"/>
    <x v="1"/>
    <x v="154"/>
    <x v="0"/>
    <x v="2"/>
    <x v="0"/>
    <x v="18"/>
    <x v="0"/>
    <x v="0"/>
  </r>
  <r>
    <x v="9"/>
    <x v="1"/>
    <x v="155"/>
    <x v="0"/>
    <x v="2"/>
    <x v="0"/>
    <x v="10"/>
    <x v="1"/>
    <x v="12"/>
  </r>
  <r>
    <x v="9"/>
    <x v="1"/>
    <x v="156"/>
    <x v="0"/>
    <x v="2"/>
    <x v="0"/>
    <x v="15"/>
    <x v="1"/>
    <x v="0"/>
  </r>
  <r>
    <x v="9"/>
    <x v="1"/>
    <x v="157"/>
    <x v="0"/>
    <x v="1"/>
    <x v="0"/>
    <x v="18"/>
    <x v="0"/>
    <x v="0"/>
  </r>
  <r>
    <x v="9"/>
    <x v="1"/>
    <x v="158"/>
    <x v="0"/>
    <x v="2"/>
    <x v="0"/>
    <x v="10"/>
    <x v="1"/>
    <x v="0"/>
  </r>
  <r>
    <x v="9"/>
    <x v="1"/>
    <x v="159"/>
    <x v="0"/>
    <x v="0"/>
    <x v="0"/>
    <x v="15"/>
    <x v="1"/>
    <x v="0"/>
  </r>
  <r>
    <x v="9"/>
    <x v="1"/>
    <x v="160"/>
    <x v="0"/>
    <x v="2"/>
    <x v="0"/>
    <x v="9"/>
    <x v="0"/>
    <x v="0"/>
  </r>
  <r>
    <x v="9"/>
    <x v="1"/>
    <x v="161"/>
    <x v="0"/>
    <x v="0"/>
    <x v="0"/>
    <x v="15"/>
    <x v="1"/>
    <x v="12"/>
  </r>
  <r>
    <x v="9"/>
    <x v="1"/>
    <x v="162"/>
    <x v="0"/>
    <x v="2"/>
    <x v="1"/>
    <x v="19"/>
    <x v="2"/>
    <x v="0"/>
  </r>
  <r>
    <x v="9"/>
    <x v="1"/>
    <x v="163"/>
    <x v="0"/>
    <x v="2"/>
    <x v="0"/>
    <x v="19"/>
    <x v="2"/>
    <x v="0"/>
  </r>
  <r>
    <x v="9"/>
    <x v="1"/>
    <x v="164"/>
    <x v="0"/>
    <x v="0"/>
    <x v="0"/>
    <x v="19"/>
    <x v="2"/>
    <x v="12"/>
  </r>
  <r>
    <x v="9"/>
    <x v="1"/>
    <x v="165"/>
    <x v="0"/>
    <x v="0"/>
    <x v="0"/>
    <x v="19"/>
    <x v="2"/>
    <x v="9"/>
  </r>
  <r>
    <x v="9"/>
    <x v="1"/>
    <x v="166"/>
    <x v="0"/>
    <x v="2"/>
    <x v="0"/>
    <x v="19"/>
    <x v="2"/>
    <x v="0"/>
  </r>
  <r>
    <x v="9"/>
    <x v="1"/>
    <x v="167"/>
    <x v="0"/>
    <x v="1"/>
    <x v="0"/>
    <x v="17"/>
    <x v="0"/>
    <x v="0"/>
  </r>
  <r>
    <x v="9"/>
    <x v="1"/>
    <x v="168"/>
    <x v="0"/>
    <x v="1"/>
    <x v="0"/>
    <x v="17"/>
    <x v="0"/>
    <x v="0"/>
  </r>
  <r>
    <x v="9"/>
    <x v="1"/>
    <x v="169"/>
    <x v="0"/>
    <x v="0"/>
    <x v="0"/>
    <x v="17"/>
    <x v="0"/>
    <x v="0"/>
  </r>
  <r>
    <x v="9"/>
    <x v="1"/>
    <x v="170"/>
    <x v="0"/>
    <x v="0"/>
    <x v="0"/>
    <x v="17"/>
    <x v="0"/>
    <x v="0"/>
  </r>
  <r>
    <x v="9"/>
    <x v="1"/>
    <x v="171"/>
    <x v="0"/>
    <x v="2"/>
    <x v="0"/>
    <x v="6"/>
    <x v="0"/>
    <x v="12"/>
  </r>
  <r>
    <x v="9"/>
    <x v="1"/>
    <x v="172"/>
    <x v="0"/>
    <x v="0"/>
    <x v="0"/>
    <x v="0"/>
    <x v="2"/>
    <x v="7"/>
  </r>
  <r>
    <x v="9"/>
    <x v="1"/>
    <x v="173"/>
    <x v="0"/>
    <x v="0"/>
    <x v="0"/>
    <x v="0"/>
    <x v="2"/>
    <x v="7"/>
  </r>
  <r>
    <x v="10"/>
    <x v="1"/>
    <x v="174"/>
    <x v="0"/>
    <x v="2"/>
    <x v="0"/>
    <x v="10"/>
    <x v="1"/>
    <x v="9"/>
  </r>
  <r>
    <x v="10"/>
    <x v="1"/>
    <x v="175"/>
    <x v="0"/>
    <x v="2"/>
    <x v="0"/>
    <x v="10"/>
    <x v="1"/>
    <x v="21"/>
  </r>
  <r>
    <x v="10"/>
    <x v="1"/>
    <x v="176"/>
    <x v="0"/>
    <x v="1"/>
    <x v="0"/>
    <x v="10"/>
    <x v="1"/>
    <x v="9"/>
  </r>
  <r>
    <x v="10"/>
    <x v="1"/>
    <x v="177"/>
    <x v="0"/>
    <x v="1"/>
    <x v="0"/>
    <x v="10"/>
    <x v="1"/>
    <x v="9"/>
  </r>
  <r>
    <x v="10"/>
    <x v="1"/>
    <x v="178"/>
    <x v="0"/>
    <x v="1"/>
    <x v="0"/>
    <x v="10"/>
    <x v="1"/>
    <x v="8"/>
  </r>
  <r>
    <x v="10"/>
    <x v="1"/>
    <x v="179"/>
    <x v="0"/>
    <x v="2"/>
    <x v="0"/>
    <x v="10"/>
    <x v="1"/>
    <x v="0"/>
  </r>
  <r>
    <x v="10"/>
    <x v="1"/>
    <x v="180"/>
    <x v="0"/>
    <x v="2"/>
    <x v="0"/>
    <x v="10"/>
    <x v="1"/>
    <x v="0"/>
  </r>
  <r>
    <x v="10"/>
    <x v="1"/>
    <x v="181"/>
    <x v="0"/>
    <x v="1"/>
    <x v="0"/>
    <x v="10"/>
    <x v="1"/>
    <x v="12"/>
  </r>
  <r>
    <x v="10"/>
    <x v="1"/>
    <x v="182"/>
    <x v="0"/>
    <x v="1"/>
    <x v="0"/>
    <x v="16"/>
    <x v="0"/>
    <x v="0"/>
  </r>
  <r>
    <x v="10"/>
    <x v="1"/>
    <x v="183"/>
    <x v="0"/>
    <x v="1"/>
    <x v="0"/>
    <x v="16"/>
    <x v="0"/>
    <x v="0"/>
  </r>
  <r>
    <x v="10"/>
    <x v="1"/>
    <x v="184"/>
    <x v="0"/>
    <x v="1"/>
    <x v="0"/>
    <x v="10"/>
    <x v="1"/>
    <x v="9"/>
  </r>
  <r>
    <x v="10"/>
    <x v="1"/>
    <x v="185"/>
    <x v="0"/>
    <x v="1"/>
    <x v="0"/>
    <x v="10"/>
    <x v="1"/>
    <x v="9"/>
  </r>
  <r>
    <x v="10"/>
    <x v="1"/>
    <x v="186"/>
    <x v="0"/>
    <x v="2"/>
    <x v="0"/>
    <x v="15"/>
    <x v="1"/>
    <x v="12"/>
  </r>
  <r>
    <x v="10"/>
    <x v="1"/>
    <x v="187"/>
    <x v="0"/>
    <x v="2"/>
    <x v="0"/>
    <x v="15"/>
    <x v="1"/>
    <x v="12"/>
  </r>
  <r>
    <x v="10"/>
    <x v="1"/>
    <x v="188"/>
    <x v="0"/>
    <x v="2"/>
    <x v="0"/>
    <x v="11"/>
    <x v="2"/>
    <x v="0"/>
  </r>
  <r>
    <x v="10"/>
    <x v="1"/>
    <x v="189"/>
    <x v="0"/>
    <x v="2"/>
    <x v="0"/>
    <x v="15"/>
    <x v="1"/>
    <x v="9"/>
  </r>
  <r>
    <x v="10"/>
    <x v="1"/>
    <x v="190"/>
    <x v="0"/>
    <x v="2"/>
    <x v="0"/>
    <x v="15"/>
    <x v="1"/>
    <x v="9"/>
  </r>
  <r>
    <x v="10"/>
    <x v="1"/>
    <x v="191"/>
    <x v="0"/>
    <x v="1"/>
    <x v="0"/>
    <x v="11"/>
    <x v="2"/>
    <x v="9"/>
  </r>
  <r>
    <x v="10"/>
    <x v="1"/>
    <x v="192"/>
    <x v="0"/>
    <x v="1"/>
    <x v="0"/>
    <x v="11"/>
    <x v="2"/>
    <x v="9"/>
  </r>
  <r>
    <x v="10"/>
    <x v="1"/>
    <x v="193"/>
    <x v="0"/>
    <x v="2"/>
    <x v="0"/>
    <x v="10"/>
    <x v="1"/>
    <x v="0"/>
  </r>
  <r>
    <x v="10"/>
    <x v="1"/>
    <x v="194"/>
    <x v="0"/>
    <x v="1"/>
    <x v="0"/>
    <x v="19"/>
    <x v="2"/>
    <x v="0"/>
  </r>
  <r>
    <x v="10"/>
    <x v="1"/>
    <x v="195"/>
    <x v="0"/>
    <x v="1"/>
    <x v="0"/>
    <x v="19"/>
    <x v="2"/>
    <x v="0"/>
  </r>
  <r>
    <x v="10"/>
    <x v="1"/>
    <x v="196"/>
    <x v="0"/>
    <x v="2"/>
    <x v="0"/>
    <x v="19"/>
    <x v="2"/>
    <x v="9"/>
  </r>
  <r>
    <x v="10"/>
    <x v="1"/>
    <x v="197"/>
    <x v="0"/>
    <x v="2"/>
    <x v="0"/>
    <x v="17"/>
    <x v="0"/>
    <x v="9"/>
  </r>
  <r>
    <x v="10"/>
    <x v="1"/>
    <x v="198"/>
    <x v="0"/>
    <x v="0"/>
    <x v="0"/>
    <x v="4"/>
    <x v="2"/>
    <x v="4"/>
  </r>
  <r>
    <x v="10"/>
    <x v="1"/>
    <x v="199"/>
    <x v="0"/>
    <x v="0"/>
    <x v="0"/>
    <x v="8"/>
    <x v="2"/>
    <x v="7"/>
  </r>
  <r>
    <x v="11"/>
    <x v="1"/>
    <x v="200"/>
    <x v="0"/>
    <x v="2"/>
    <x v="0"/>
    <x v="6"/>
    <x v="0"/>
    <x v="12"/>
  </r>
  <r>
    <x v="11"/>
    <x v="1"/>
    <x v="201"/>
    <x v="0"/>
    <x v="2"/>
    <x v="0"/>
    <x v="0"/>
    <x v="2"/>
    <x v="0"/>
  </r>
  <r>
    <x v="11"/>
    <x v="1"/>
    <x v="202"/>
    <x v="0"/>
    <x v="2"/>
    <x v="0"/>
    <x v="4"/>
    <x v="2"/>
    <x v="12"/>
  </r>
  <r>
    <x v="11"/>
    <x v="1"/>
    <x v="203"/>
    <x v="0"/>
    <x v="2"/>
    <x v="0"/>
    <x v="4"/>
    <x v="2"/>
    <x v="10"/>
  </r>
  <r>
    <x v="11"/>
    <x v="1"/>
    <x v="204"/>
    <x v="0"/>
    <x v="2"/>
    <x v="0"/>
    <x v="3"/>
    <x v="0"/>
    <x v="12"/>
  </r>
  <r>
    <x v="11"/>
    <x v="1"/>
    <x v="205"/>
    <x v="0"/>
    <x v="1"/>
    <x v="0"/>
    <x v="8"/>
    <x v="2"/>
    <x v="0"/>
  </r>
  <r>
    <x v="11"/>
    <x v="1"/>
    <x v="206"/>
    <x v="0"/>
    <x v="1"/>
    <x v="0"/>
    <x v="10"/>
    <x v="1"/>
    <x v="0"/>
  </r>
  <r>
    <x v="11"/>
    <x v="1"/>
    <x v="207"/>
    <x v="0"/>
    <x v="0"/>
    <x v="0"/>
    <x v="27"/>
    <x v="1"/>
    <x v="24"/>
  </r>
  <r>
    <x v="11"/>
    <x v="1"/>
    <x v="208"/>
    <x v="0"/>
    <x v="0"/>
    <x v="0"/>
    <x v="2"/>
    <x v="2"/>
    <x v="0"/>
  </r>
  <r>
    <x v="11"/>
    <x v="1"/>
    <x v="209"/>
    <x v="0"/>
    <x v="0"/>
    <x v="0"/>
    <x v="3"/>
    <x v="0"/>
    <x v="0"/>
  </r>
  <r>
    <x v="11"/>
    <x v="1"/>
    <x v="210"/>
    <x v="0"/>
    <x v="2"/>
    <x v="0"/>
    <x v="13"/>
    <x v="2"/>
    <x v="9"/>
  </r>
  <r>
    <x v="11"/>
    <x v="1"/>
    <x v="211"/>
    <x v="0"/>
    <x v="2"/>
    <x v="0"/>
    <x v="10"/>
    <x v="1"/>
    <x v="12"/>
  </r>
  <r>
    <x v="11"/>
    <x v="1"/>
    <x v="212"/>
    <x v="0"/>
    <x v="2"/>
    <x v="0"/>
    <x v="27"/>
    <x v="1"/>
    <x v="12"/>
  </r>
  <r>
    <x v="11"/>
    <x v="1"/>
    <x v="213"/>
    <x v="0"/>
    <x v="2"/>
    <x v="0"/>
    <x v="0"/>
    <x v="2"/>
    <x v="0"/>
  </r>
  <r>
    <x v="11"/>
    <x v="1"/>
    <x v="214"/>
    <x v="0"/>
    <x v="2"/>
    <x v="0"/>
    <x v="3"/>
    <x v="0"/>
    <x v="0"/>
  </r>
  <r>
    <x v="11"/>
    <x v="1"/>
    <x v="215"/>
    <x v="0"/>
    <x v="1"/>
    <x v="0"/>
    <x v="14"/>
    <x v="2"/>
    <x v="12"/>
  </r>
  <r>
    <x v="11"/>
    <x v="1"/>
    <x v="216"/>
    <x v="0"/>
    <x v="2"/>
    <x v="0"/>
    <x v="10"/>
    <x v="1"/>
    <x v="0"/>
  </r>
  <r>
    <x v="11"/>
    <x v="1"/>
    <x v="217"/>
    <x v="0"/>
    <x v="2"/>
    <x v="0"/>
    <x v="27"/>
    <x v="1"/>
    <x v="9"/>
  </r>
  <r>
    <x v="11"/>
    <x v="1"/>
    <x v="218"/>
    <x v="0"/>
    <x v="2"/>
    <x v="0"/>
    <x v="20"/>
    <x v="2"/>
    <x v="0"/>
  </r>
  <r>
    <x v="11"/>
    <x v="1"/>
    <x v="219"/>
    <x v="0"/>
    <x v="1"/>
    <x v="0"/>
    <x v="3"/>
    <x v="0"/>
    <x v="0"/>
  </r>
  <r>
    <x v="11"/>
    <x v="1"/>
    <x v="220"/>
    <x v="0"/>
    <x v="2"/>
    <x v="0"/>
    <x v="16"/>
    <x v="0"/>
    <x v="0"/>
  </r>
  <r>
    <x v="11"/>
    <x v="1"/>
    <x v="221"/>
    <x v="0"/>
    <x v="2"/>
    <x v="0"/>
    <x v="10"/>
    <x v="1"/>
    <x v="12"/>
  </r>
  <r>
    <x v="11"/>
    <x v="1"/>
    <x v="222"/>
    <x v="0"/>
    <x v="2"/>
    <x v="0"/>
    <x v="27"/>
    <x v="1"/>
    <x v="8"/>
  </r>
  <r>
    <x v="11"/>
    <x v="1"/>
    <x v="223"/>
    <x v="0"/>
    <x v="2"/>
    <x v="0"/>
    <x v="16"/>
    <x v="0"/>
    <x v="9"/>
  </r>
  <r>
    <x v="11"/>
    <x v="1"/>
    <x v="224"/>
    <x v="0"/>
    <x v="2"/>
    <x v="0"/>
    <x v="3"/>
    <x v="0"/>
    <x v="12"/>
  </r>
  <r>
    <x v="11"/>
    <x v="1"/>
    <x v="225"/>
    <x v="0"/>
    <x v="2"/>
    <x v="0"/>
    <x v="9"/>
    <x v="0"/>
    <x v="0"/>
  </r>
  <r>
    <x v="11"/>
    <x v="1"/>
    <x v="226"/>
    <x v="0"/>
    <x v="0"/>
    <x v="0"/>
    <x v="10"/>
    <x v="1"/>
    <x v="23"/>
  </r>
  <r>
    <x v="11"/>
    <x v="1"/>
    <x v="227"/>
    <x v="0"/>
    <x v="0"/>
    <x v="0"/>
    <x v="27"/>
    <x v="1"/>
    <x v="0"/>
  </r>
  <r>
    <x v="11"/>
    <x v="1"/>
    <x v="228"/>
    <x v="0"/>
    <x v="1"/>
    <x v="0"/>
    <x v="9"/>
    <x v="0"/>
    <x v="0"/>
  </r>
  <r>
    <x v="11"/>
    <x v="1"/>
    <x v="229"/>
    <x v="0"/>
    <x v="1"/>
    <x v="0"/>
    <x v="6"/>
    <x v="0"/>
    <x v="0"/>
  </r>
  <r>
    <x v="11"/>
    <x v="1"/>
    <x v="230"/>
    <x v="0"/>
    <x v="1"/>
    <x v="0"/>
    <x v="8"/>
    <x v="2"/>
    <x v="12"/>
  </r>
  <r>
    <x v="11"/>
    <x v="1"/>
    <x v="231"/>
    <x v="0"/>
    <x v="0"/>
    <x v="0"/>
    <x v="3"/>
    <x v="0"/>
    <x v="0"/>
  </r>
  <r>
    <x v="11"/>
    <x v="1"/>
    <x v="232"/>
    <x v="0"/>
    <x v="2"/>
    <x v="0"/>
    <x v="9"/>
    <x v="0"/>
    <x v="0"/>
  </r>
  <r>
    <x v="11"/>
    <x v="1"/>
    <x v="233"/>
    <x v="0"/>
    <x v="0"/>
    <x v="0"/>
    <x v="10"/>
    <x v="1"/>
    <x v="22"/>
  </r>
  <r>
    <x v="11"/>
    <x v="1"/>
    <x v="234"/>
    <x v="0"/>
    <x v="1"/>
    <x v="0"/>
    <x v="27"/>
    <x v="1"/>
    <x v="0"/>
  </r>
  <r>
    <x v="11"/>
    <x v="1"/>
    <x v="235"/>
    <x v="0"/>
    <x v="0"/>
    <x v="0"/>
    <x v="9"/>
    <x v="0"/>
    <x v="0"/>
  </r>
  <r>
    <x v="11"/>
    <x v="1"/>
    <x v="236"/>
    <x v="0"/>
    <x v="0"/>
    <x v="0"/>
    <x v="11"/>
    <x v="2"/>
    <x v="0"/>
  </r>
  <r>
    <x v="11"/>
    <x v="1"/>
    <x v="237"/>
    <x v="0"/>
    <x v="0"/>
    <x v="0"/>
    <x v="9"/>
    <x v="0"/>
    <x v="9"/>
  </r>
  <r>
    <x v="11"/>
    <x v="1"/>
    <x v="238"/>
    <x v="0"/>
    <x v="0"/>
    <x v="0"/>
    <x v="19"/>
    <x v="2"/>
    <x v="12"/>
  </r>
  <r>
    <x v="11"/>
    <x v="1"/>
    <x v="239"/>
    <x v="0"/>
    <x v="0"/>
    <x v="0"/>
    <x v="11"/>
    <x v="2"/>
    <x v="9"/>
  </r>
  <r>
    <x v="11"/>
    <x v="1"/>
    <x v="240"/>
    <x v="0"/>
    <x v="0"/>
    <x v="0"/>
    <x v="16"/>
    <x v="0"/>
    <x v="0"/>
  </r>
  <r>
    <x v="11"/>
    <x v="1"/>
    <x v="241"/>
    <x v="0"/>
    <x v="0"/>
    <x v="0"/>
    <x v="10"/>
    <x v="1"/>
    <x v="9"/>
  </r>
  <r>
    <x v="11"/>
    <x v="1"/>
    <x v="242"/>
    <x v="0"/>
    <x v="0"/>
    <x v="0"/>
    <x v="27"/>
    <x v="1"/>
    <x v="12"/>
  </r>
  <r>
    <x v="11"/>
    <x v="1"/>
    <x v="243"/>
    <x v="0"/>
    <x v="1"/>
    <x v="0"/>
    <x v="27"/>
    <x v="1"/>
    <x v="0"/>
  </r>
  <r>
    <x v="11"/>
    <x v="1"/>
    <x v="244"/>
    <x v="0"/>
    <x v="1"/>
    <x v="0"/>
    <x v="9"/>
    <x v="0"/>
    <x v="0"/>
  </r>
  <r>
    <x v="11"/>
    <x v="1"/>
    <x v="245"/>
    <x v="0"/>
    <x v="0"/>
    <x v="0"/>
    <x v="11"/>
    <x v="2"/>
    <x v="0"/>
  </r>
  <r>
    <x v="11"/>
    <x v="1"/>
    <x v="246"/>
    <x v="0"/>
    <x v="0"/>
    <x v="0"/>
    <x v="9"/>
    <x v="0"/>
    <x v="12"/>
  </r>
  <r>
    <x v="11"/>
    <x v="1"/>
    <x v="247"/>
    <x v="0"/>
    <x v="0"/>
    <x v="0"/>
    <x v="19"/>
    <x v="2"/>
    <x v="0"/>
  </r>
  <r>
    <x v="11"/>
    <x v="1"/>
    <x v="248"/>
    <x v="0"/>
    <x v="0"/>
    <x v="0"/>
    <x v="11"/>
    <x v="2"/>
    <x v="9"/>
  </r>
  <r>
    <x v="11"/>
    <x v="1"/>
    <x v="249"/>
    <x v="0"/>
    <x v="0"/>
    <x v="0"/>
    <x v="16"/>
    <x v="0"/>
    <x v="0"/>
  </r>
  <r>
    <x v="11"/>
    <x v="1"/>
    <x v="250"/>
    <x v="0"/>
    <x v="1"/>
    <x v="0"/>
    <x v="10"/>
    <x v="1"/>
    <x v="0"/>
  </r>
  <r>
    <x v="11"/>
    <x v="1"/>
    <x v="251"/>
    <x v="0"/>
    <x v="1"/>
    <x v="0"/>
    <x v="27"/>
    <x v="1"/>
    <x v="9"/>
  </r>
  <r>
    <x v="11"/>
    <x v="1"/>
    <x v="252"/>
    <x v="0"/>
    <x v="1"/>
    <x v="0"/>
    <x v="3"/>
    <x v="0"/>
    <x v="6"/>
  </r>
  <r>
    <x v="11"/>
    <x v="1"/>
    <x v="253"/>
    <x v="0"/>
    <x v="0"/>
    <x v="0"/>
    <x v="2"/>
    <x v="2"/>
    <x v="12"/>
  </r>
  <r>
    <x v="11"/>
    <x v="1"/>
    <x v="254"/>
    <x v="0"/>
    <x v="0"/>
    <x v="0"/>
    <x v="10"/>
    <x v="1"/>
    <x v="0"/>
  </r>
  <r>
    <x v="11"/>
    <x v="1"/>
    <x v="255"/>
    <x v="0"/>
    <x v="0"/>
    <x v="0"/>
    <x v="27"/>
    <x v="1"/>
    <x v="0"/>
  </r>
  <r>
    <x v="11"/>
    <x v="1"/>
    <x v="256"/>
    <x v="0"/>
    <x v="0"/>
    <x v="0"/>
    <x v="13"/>
    <x v="2"/>
    <x v="9"/>
  </r>
  <r>
    <x v="11"/>
    <x v="1"/>
    <x v="257"/>
    <x v="0"/>
    <x v="1"/>
    <x v="0"/>
    <x v="19"/>
    <x v="2"/>
    <x v="0"/>
  </r>
  <r>
    <x v="11"/>
    <x v="1"/>
    <x v="258"/>
    <x v="0"/>
    <x v="1"/>
    <x v="0"/>
    <x v="19"/>
    <x v="2"/>
    <x v="9"/>
  </r>
  <r>
    <x v="11"/>
    <x v="1"/>
    <x v="259"/>
    <x v="0"/>
    <x v="1"/>
    <x v="0"/>
    <x v="19"/>
    <x v="2"/>
    <x v="0"/>
  </r>
  <r>
    <x v="11"/>
    <x v="1"/>
    <x v="260"/>
    <x v="0"/>
    <x v="1"/>
    <x v="0"/>
    <x v="19"/>
    <x v="2"/>
    <x v="9"/>
  </r>
  <r>
    <x v="11"/>
    <x v="1"/>
    <x v="261"/>
    <x v="0"/>
    <x v="1"/>
    <x v="0"/>
    <x v="0"/>
    <x v="2"/>
    <x v="9"/>
  </r>
  <r>
    <x v="11"/>
    <x v="1"/>
    <x v="262"/>
    <x v="0"/>
    <x v="1"/>
    <x v="0"/>
    <x v="19"/>
    <x v="2"/>
    <x v="12"/>
  </r>
  <r>
    <x v="11"/>
    <x v="1"/>
    <x v="263"/>
    <x v="0"/>
    <x v="1"/>
    <x v="0"/>
    <x v="19"/>
    <x v="2"/>
    <x v="0"/>
  </r>
  <r>
    <x v="11"/>
    <x v="1"/>
    <x v="264"/>
    <x v="0"/>
    <x v="1"/>
    <x v="0"/>
    <x v="19"/>
    <x v="2"/>
    <x v="9"/>
  </r>
  <r>
    <x v="11"/>
    <x v="1"/>
    <x v="265"/>
    <x v="0"/>
    <x v="1"/>
    <x v="0"/>
    <x v="19"/>
    <x v="2"/>
    <x v="9"/>
  </r>
  <r>
    <x v="11"/>
    <x v="1"/>
    <x v="266"/>
    <x v="0"/>
    <x v="1"/>
    <x v="0"/>
    <x v="19"/>
    <x v="2"/>
    <x v="12"/>
  </r>
  <r>
    <x v="11"/>
    <x v="1"/>
    <x v="267"/>
    <x v="0"/>
    <x v="0"/>
    <x v="0"/>
    <x v="19"/>
    <x v="2"/>
    <x v="12"/>
  </r>
  <r>
    <x v="11"/>
    <x v="1"/>
    <x v="268"/>
    <x v="0"/>
    <x v="1"/>
    <x v="0"/>
    <x v="19"/>
    <x v="2"/>
    <x v="0"/>
  </r>
  <r>
    <x v="11"/>
    <x v="1"/>
    <x v="269"/>
    <x v="0"/>
    <x v="0"/>
    <x v="0"/>
    <x v="19"/>
    <x v="2"/>
    <x v="8"/>
  </r>
  <r>
    <x v="11"/>
    <x v="1"/>
    <x v="270"/>
    <x v="0"/>
    <x v="0"/>
    <x v="0"/>
    <x v="17"/>
    <x v="0"/>
    <x v="9"/>
  </r>
  <r>
    <x v="11"/>
    <x v="1"/>
    <x v="271"/>
    <x v="0"/>
    <x v="1"/>
    <x v="0"/>
    <x v="17"/>
    <x v="0"/>
    <x v="12"/>
  </r>
  <r>
    <x v="11"/>
    <x v="1"/>
    <x v="272"/>
    <x v="0"/>
    <x v="1"/>
    <x v="0"/>
    <x v="17"/>
    <x v="0"/>
    <x v="0"/>
  </r>
  <r>
    <x v="11"/>
    <x v="1"/>
    <x v="273"/>
    <x v="0"/>
    <x v="0"/>
    <x v="0"/>
    <x v="17"/>
    <x v="0"/>
    <x v="9"/>
  </r>
  <r>
    <x v="11"/>
    <x v="1"/>
    <x v="274"/>
    <x v="0"/>
    <x v="1"/>
    <x v="0"/>
    <x v="17"/>
    <x v="0"/>
    <x v="12"/>
  </r>
  <r>
    <x v="12"/>
    <x v="1"/>
    <x v="275"/>
    <x v="0"/>
    <x v="0"/>
    <x v="0"/>
    <x v="6"/>
    <x v="0"/>
    <x v="0"/>
  </r>
  <r>
    <x v="12"/>
    <x v="1"/>
    <x v="276"/>
    <x v="0"/>
    <x v="0"/>
    <x v="0"/>
    <x v="6"/>
    <x v="0"/>
    <x v="0"/>
  </r>
  <r>
    <x v="12"/>
    <x v="1"/>
    <x v="277"/>
    <x v="0"/>
    <x v="0"/>
    <x v="0"/>
    <x v="6"/>
    <x v="0"/>
    <x v="12"/>
  </r>
  <r>
    <x v="12"/>
    <x v="1"/>
    <x v="278"/>
    <x v="0"/>
    <x v="0"/>
    <x v="0"/>
    <x v="19"/>
    <x v="2"/>
    <x v="9"/>
  </r>
  <r>
    <x v="12"/>
    <x v="1"/>
    <x v="279"/>
    <x v="0"/>
    <x v="0"/>
    <x v="0"/>
    <x v="17"/>
    <x v="0"/>
    <x v="9"/>
  </r>
  <r>
    <x v="13"/>
    <x v="1"/>
    <x v="280"/>
    <x v="0"/>
    <x v="0"/>
    <x v="0"/>
    <x v="13"/>
    <x v="2"/>
    <x v="0"/>
  </r>
  <r>
    <x v="13"/>
    <x v="1"/>
    <x v="281"/>
    <x v="0"/>
    <x v="0"/>
    <x v="0"/>
    <x v="10"/>
    <x v="1"/>
    <x v="12"/>
  </r>
  <r>
    <x v="13"/>
    <x v="1"/>
    <x v="282"/>
    <x v="0"/>
    <x v="0"/>
    <x v="0"/>
    <x v="14"/>
    <x v="2"/>
    <x v="9"/>
  </r>
  <r>
    <x v="13"/>
    <x v="1"/>
    <x v="283"/>
    <x v="0"/>
    <x v="0"/>
    <x v="0"/>
    <x v="10"/>
    <x v="1"/>
    <x v="0"/>
  </r>
  <r>
    <x v="13"/>
    <x v="1"/>
    <x v="284"/>
    <x v="0"/>
    <x v="1"/>
    <x v="0"/>
    <x v="14"/>
    <x v="2"/>
    <x v="0"/>
  </r>
  <r>
    <x v="13"/>
    <x v="1"/>
    <x v="285"/>
    <x v="0"/>
    <x v="0"/>
    <x v="0"/>
    <x v="10"/>
    <x v="1"/>
    <x v="0"/>
  </r>
  <r>
    <x v="13"/>
    <x v="1"/>
    <x v="286"/>
    <x v="0"/>
    <x v="0"/>
    <x v="0"/>
    <x v="10"/>
    <x v="1"/>
    <x v="9"/>
  </r>
  <r>
    <x v="13"/>
    <x v="1"/>
    <x v="287"/>
    <x v="0"/>
    <x v="0"/>
    <x v="0"/>
    <x v="0"/>
    <x v="2"/>
    <x v="9"/>
  </r>
  <r>
    <x v="13"/>
    <x v="1"/>
    <x v="288"/>
    <x v="0"/>
    <x v="0"/>
    <x v="0"/>
    <x v="19"/>
    <x v="2"/>
    <x v="12"/>
  </r>
  <r>
    <x v="13"/>
    <x v="1"/>
    <x v="289"/>
    <x v="0"/>
    <x v="0"/>
    <x v="0"/>
    <x v="19"/>
    <x v="2"/>
    <x v="9"/>
  </r>
  <r>
    <x v="13"/>
    <x v="1"/>
    <x v="290"/>
    <x v="0"/>
    <x v="1"/>
    <x v="0"/>
    <x v="17"/>
    <x v="0"/>
    <x v="9"/>
  </r>
  <r>
    <x v="14"/>
    <x v="1"/>
    <x v="291"/>
    <x v="0"/>
    <x v="1"/>
    <x v="0"/>
    <x v="10"/>
    <x v="1"/>
    <x v="12"/>
  </r>
  <r>
    <x v="14"/>
    <x v="1"/>
    <x v="292"/>
    <x v="0"/>
    <x v="1"/>
    <x v="0"/>
    <x v="23"/>
    <x v="1"/>
    <x v="0"/>
  </r>
  <r>
    <x v="15"/>
    <x v="1"/>
    <x v="293"/>
    <x v="0"/>
    <x v="0"/>
    <x v="0"/>
    <x v="15"/>
    <x v="1"/>
    <x v="0"/>
  </r>
  <r>
    <x v="15"/>
    <x v="1"/>
    <x v="294"/>
    <x v="0"/>
    <x v="0"/>
    <x v="0"/>
    <x v="14"/>
    <x v="2"/>
    <x v="0"/>
  </r>
  <r>
    <x v="15"/>
    <x v="1"/>
    <x v="295"/>
    <x v="0"/>
    <x v="1"/>
    <x v="0"/>
    <x v="18"/>
    <x v="0"/>
    <x v="9"/>
  </r>
  <r>
    <x v="15"/>
    <x v="1"/>
    <x v="296"/>
    <x v="0"/>
    <x v="1"/>
    <x v="0"/>
    <x v="0"/>
    <x v="2"/>
    <x v="7"/>
  </r>
  <r>
    <x v="15"/>
    <x v="1"/>
    <x v="297"/>
    <x v="0"/>
    <x v="0"/>
    <x v="0"/>
    <x v="27"/>
    <x v="1"/>
    <x v="0"/>
  </r>
  <r>
    <x v="15"/>
    <x v="1"/>
    <x v="298"/>
    <x v="0"/>
    <x v="0"/>
    <x v="0"/>
    <x v="14"/>
    <x v="2"/>
    <x v="12"/>
  </r>
  <r>
    <x v="15"/>
    <x v="1"/>
    <x v="299"/>
    <x v="0"/>
    <x v="0"/>
    <x v="0"/>
    <x v="15"/>
    <x v="1"/>
    <x v="9"/>
  </r>
  <r>
    <x v="15"/>
    <x v="1"/>
    <x v="300"/>
    <x v="0"/>
    <x v="0"/>
    <x v="0"/>
    <x v="15"/>
    <x v="1"/>
    <x v="9"/>
  </r>
  <r>
    <x v="15"/>
    <x v="1"/>
    <x v="301"/>
    <x v="0"/>
    <x v="0"/>
    <x v="0"/>
    <x v="2"/>
    <x v="2"/>
    <x v="5"/>
  </r>
  <r>
    <x v="15"/>
    <x v="1"/>
    <x v="302"/>
    <x v="0"/>
    <x v="0"/>
    <x v="0"/>
    <x v="18"/>
    <x v="0"/>
    <x v="12"/>
  </r>
  <r>
    <x v="15"/>
    <x v="1"/>
    <x v="303"/>
    <x v="0"/>
    <x v="0"/>
    <x v="0"/>
    <x v="27"/>
    <x v="1"/>
    <x v="4"/>
  </r>
  <r>
    <x v="15"/>
    <x v="1"/>
    <x v="304"/>
    <x v="0"/>
    <x v="1"/>
    <x v="0"/>
    <x v="13"/>
    <x v="2"/>
    <x v="9"/>
  </r>
  <r>
    <x v="16"/>
    <x v="1"/>
    <x v="305"/>
    <x v="0"/>
    <x v="2"/>
    <x v="0"/>
    <x v="11"/>
    <x v="2"/>
    <x v="0"/>
  </r>
  <r>
    <x v="16"/>
    <x v="1"/>
    <x v="306"/>
    <x v="0"/>
    <x v="0"/>
    <x v="0"/>
    <x v="0"/>
    <x v="2"/>
    <x v="9"/>
  </r>
  <r>
    <x v="16"/>
    <x v="1"/>
    <x v="307"/>
    <x v="0"/>
    <x v="1"/>
    <x v="0"/>
    <x v="14"/>
    <x v="2"/>
    <x v="0"/>
  </r>
  <r>
    <x v="16"/>
    <x v="1"/>
    <x v="308"/>
    <x v="0"/>
    <x v="1"/>
    <x v="0"/>
    <x v="0"/>
    <x v="2"/>
    <x v="0"/>
  </r>
  <r>
    <x v="16"/>
    <x v="1"/>
    <x v="309"/>
    <x v="0"/>
    <x v="1"/>
    <x v="0"/>
    <x v="20"/>
    <x v="2"/>
    <x v="9"/>
  </r>
  <r>
    <x v="16"/>
    <x v="1"/>
    <x v="310"/>
    <x v="0"/>
    <x v="1"/>
    <x v="0"/>
    <x v="14"/>
    <x v="2"/>
    <x v="0"/>
  </r>
  <r>
    <x v="17"/>
    <x v="1"/>
    <x v="311"/>
    <x v="0"/>
    <x v="2"/>
    <x v="0"/>
    <x v="14"/>
    <x v="2"/>
    <x v="0"/>
  </r>
  <r>
    <x v="17"/>
    <x v="1"/>
    <x v="312"/>
    <x v="0"/>
    <x v="1"/>
    <x v="0"/>
    <x v="26"/>
    <x v="1"/>
    <x v="8"/>
  </r>
  <r>
    <x v="17"/>
    <x v="1"/>
    <x v="313"/>
    <x v="0"/>
    <x v="0"/>
    <x v="0"/>
    <x v="2"/>
    <x v="2"/>
    <x v="12"/>
  </r>
  <r>
    <x v="17"/>
    <x v="1"/>
    <x v="314"/>
    <x v="0"/>
    <x v="1"/>
    <x v="0"/>
    <x v="11"/>
    <x v="2"/>
    <x v="0"/>
  </r>
  <r>
    <x v="17"/>
    <x v="1"/>
    <x v="315"/>
    <x v="0"/>
    <x v="1"/>
    <x v="0"/>
    <x v="11"/>
    <x v="2"/>
    <x v="0"/>
  </r>
  <r>
    <x v="17"/>
    <x v="1"/>
    <x v="316"/>
    <x v="0"/>
    <x v="1"/>
    <x v="0"/>
    <x v="14"/>
    <x v="2"/>
    <x v="0"/>
  </r>
  <r>
    <x v="17"/>
    <x v="1"/>
    <x v="317"/>
    <x v="0"/>
    <x v="1"/>
    <x v="0"/>
    <x v="14"/>
    <x v="2"/>
    <x v="9"/>
  </r>
  <r>
    <x v="17"/>
    <x v="1"/>
    <x v="318"/>
    <x v="0"/>
    <x v="1"/>
    <x v="0"/>
    <x v="21"/>
    <x v="1"/>
    <x v="0"/>
  </r>
  <r>
    <x v="17"/>
    <x v="1"/>
    <x v="319"/>
    <x v="0"/>
    <x v="1"/>
    <x v="0"/>
    <x v="21"/>
    <x v="1"/>
    <x v="0"/>
  </r>
  <r>
    <x v="17"/>
    <x v="1"/>
    <x v="320"/>
    <x v="0"/>
    <x v="1"/>
    <x v="0"/>
    <x v="26"/>
    <x v="1"/>
    <x v="12"/>
  </r>
  <r>
    <x v="17"/>
    <x v="1"/>
    <x v="321"/>
    <x v="0"/>
    <x v="1"/>
    <x v="0"/>
    <x v="0"/>
    <x v="2"/>
    <x v="9"/>
  </r>
  <r>
    <x v="17"/>
    <x v="1"/>
    <x v="322"/>
    <x v="0"/>
    <x v="1"/>
    <x v="0"/>
    <x v="14"/>
    <x v="2"/>
    <x v="9"/>
  </r>
  <r>
    <x v="17"/>
    <x v="1"/>
    <x v="323"/>
    <x v="0"/>
    <x v="1"/>
    <x v="0"/>
    <x v="11"/>
    <x v="2"/>
    <x v="9"/>
  </r>
  <r>
    <x v="17"/>
    <x v="1"/>
    <x v="324"/>
    <x v="0"/>
    <x v="1"/>
    <x v="0"/>
    <x v="0"/>
    <x v="2"/>
    <x v="9"/>
  </r>
  <r>
    <x v="17"/>
    <x v="1"/>
    <x v="325"/>
    <x v="0"/>
    <x v="1"/>
    <x v="0"/>
    <x v="14"/>
    <x v="2"/>
    <x v="0"/>
  </r>
  <r>
    <x v="17"/>
    <x v="1"/>
    <x v="326"/>
    <x v="0"/>
    <x v="1"/>
    <x v="0"/>
    <x v="2"/>
    <x v="2"/>
    <x v="9"/>
  </r>
  <r>
    <x v="17"/>
    <x v="1"/>
    <x v="327"/>
    <x v="0"/>
    <x v="1"/>
    <x v="0"/>
    <x v="21"/>
    <x v="1"/>
    <x v="0"/>
  </r>
  <r>
    <x v="17"/>
    <x v="1"/>
    <x v="328"/>
    <x v="0"/>
    <x v="1"/>
    <x v="0"/>
    <x v="21"/>
    <x v="1"/>
    <x v="0"/>
  </r>
  <r>
    <x v="17"/>
    <x v="1"/>
    <x v="329"/>
    <x v="0"/>
    <x v="0"/>
    <x v="0"/>
    <x v="19"/>
    <x v="2"/>
    <x v="22"/>
  </r>
  <r>
    <x v="18"/>
    <x v="1"/>
    <x v="330"/>
    <x v="0"/>
    <x v="2"/>
    <x v="0"/>
    <x v="10"/>
    <x v="1"/>
    <x v="12"/>
  </r>
  <r>
    <x v="18"/>
    <x v="1"/>
    <x v="331"/>
    <x v="0"/>
    <x v="2"/>
    <x v="0"/>
    <x v="8"/>
    <x v="2"/>
    <x v="0"/>
  </r>
  <r>
    <x v="18"/>
    <x v="1"/>
    <x v="332"/>
    <x v="0"/>
    <x v="2"/>
    <x v="0"/>
    <x v="8"/>
    <x v="2"/>
    <x v="9"/>
  </r>
  <r>
    <x v="18"/>
    <x v="1"/>
    <x v="333"/>
    <x v="0"/>
    <x v="2"/>
    <x v="0"/>
    <x v="8"/>
    <x v="2"/>
    <x v="12"/>
  </r>
  <r>
    <x v="19"/>
    <x v="1"/>
    <x v="334"/>
    <x v="0"/>
    <x v="1"/>
    <x v="0"/>
    <x v="19"/>
    <x v="2"/>
    <x v="19"/>
  </r>
  <r>
    <x v="19"/>
    <x v="1"/>
    <x v="335"/>
    <x v="0"/>
    <x v="0"/>
    <x v="0"/>
    <x v="25"/>
    <x v="0"/>
    <x v="0"/>
  </r>
  <r>
    <x v="19"/>
    <x v="1"/>
    <x v="336"/>
    <x v="0"/>
    <x v="0"/>
    <x v="0"/>
    <x v="25"/>
    <x v="0"/>
    <x v="0"/>
  </r>
  <r>
    <x v="19"/>
    <x v="1"/>
    <x v="337"/>
    <x v="0"/>
    <x v="0"/>
    <x v="0"/>
    <x v="15"/>
    <x v="1"/>
    <x v="0"/>
  </r>
  <r>
    <x v="19"/>
    <x v="1"/>
    <x v="338"/>
    <x v="0"/>
    <x v="0"/>
    <x v="0"/>
    <x v="15"/>
    <x v="1"/>
    <x v="22"/>
  </r>
  <r>
    <x v="19"/>
    <x v="1"/>
    <x v="339"/>
    <x v="0"/>
    <x v="0"/>
    <x v="0"/>
    <x v="25"/>
    <x v="0"/>
    <x v="12"/>
  </r>
  <r>
    <x v="19"/>
    <x v="1"/>
    <x v="340"/>
    <x v="0"/>
    <x v="0"/>
    <x v="0"/>
    <x v="15"/>
    <x v="1"/>
    <x v="9"/>
  </r>
  <r>
    <x v="19"/>
    <x v="1"/>
    <x v="341"/>
    <x v="0"/>
    <x v="0"/>
    <x v="0"/>
    <x v="0"/>
    <x v="2"/>
    <x v="7"/>
  </r>
  <r>
    <x v="20"/>
    <x v="1"/>
    <x v="342"/>
    <x v="0"/>
    <x v="0"/>
    <x v="0"/>
    <x v="27"/>
    <x v="1"/>
    <x v="12"/>
  </r>
  <r>
    <x v="20"/>
    <x v="1"/>
    <x v="343"/>
    <x v="0"/>
    <x v="2"/>
    <x v="0"/>
    <x v="27"/>
    <x v="1"/>
    <x v="0"/>
  </r>
  <r>
    <x v="20"/>
    <x v="1"/>
    <x v="344"/>
    <x v="0"/>
    <x v="2"/>
    <x v="0"/>
    <x v="27"/>
    <x v="1"/>
    <x v="0"/>
  </r>
  <r>
    <x v="21"/>
    <x v="1"/>
    <x v="345"/>
    <x v="0"/>
    <x v="2"/>
    <x v="0"/>
    <x v="9"/>
    <x v="0"/>
    <x v="0"/>
  </r>
  <r>
    <x v="21"/>
    <x v="1"/>
    <x v="346"/>
    <x v="0"/>
    <x v="2"/>
    <x v="0"/>
    <x v="9"/>
    <x v="0"/>
    <x v="19"/>
  </r>
  <r>
    <x v="21"/>
    <x v="1"/>
    <x v="347"/>
    <x v="0"/>
    <x v="2"/>
    <x v="0"/>
    <x v="9"/>
    <x v="0"/>
    <x v="0"/>
  </r>
  <r>
    <x v="21"/>
    <x v="1"/>
    <x v="348"/>
    <x v="0"/>
    <x v="2"/>
    <x v="0"/>
    <x v="9"/>
    <x v="0"/>
    <x v="15"/>
  </r>
  <r>
    <x v="21"/>
    <x v="1"/>
    <x v="349"/>
    <x v="0"/>
    <x v="2"/>
    <x v="0"/>
    <x v="22"/>
    <x v="1"/>
    <x v="5"/>
  </r>
  <r>
    <x v="21"/>
    <x v="1"/>
    <x v="350"/>
    <x v="0"/>
    <x v="0"/>
    <x v="0"/>
    <x v="15"/>
    <x v="1"/>
    <x v="12"/>
  </r>
  <r>
    <x v="21"/>
    <x v="1"/>
    <x v="351"/>
    <x v="0"/>
    <x v="0"/>
    <x v="0"/>
    <x v="9"/>
    <x v="0"/>
    <x v="0"/>
  </r>
  <r>
    <x v="21"/>
    <x v="1"/>
    <x v="352"/>
    <x v="0"/>
    <x v="0"/>
    <x v="0"/>
    <x v="9"/>
    <x v="0"/>
    <x v="0"/>
  </r>
  <r>
    <x v="21"/>
    <x v="1"/>
    <x v="353"/>
    <x v="0"/>
    <x v="0"/>
    <x v="0"/>
    <x v="9"/>
    <x v="0"/>
    <x v="9"/>
  </r>
  <r>
    <x v="21"/>
    <x v="1"/>
    <x v="354"/>
    <x v="0"/>
    <x v="0"/>
    <x v="0"/>
    <x v="9"/>
    <x v="0"/>
    <x v="9"/>
  </r>
  <r>
    <x v="21"/>
    <x v="1"/>
    <x v="355"/>
    <x v="0"/>
    <x v="0"/>
    <x v="0"/>
    <x v="22"/>
    <x v="1"/>
    <x v="12"/>
  </r>
  <r>
    <x v="21"/>
    <x v="1"/>
    <x v="356"/>
    <x v="0"/>
    <x v="0"/>
    <x v="0"/>
    <x v="15"/>
    <x v="1"/>
    <x v="0"/>
  </r>
  <r>
    <x v="21"/>
    <x v="1"/>
    <x v="357"/>
    <x v="0"/>
    <x v="0"/>
    <x v="0"/>
    <x v="15"/>
    <x v="1"/>
    <x v="0"/>
  </r>
  <r>
    <x v="21"/>
    <x v="1"/>
    <x v="358"/>
    <x v="0"/>
    <x v="1"/>
    <x v="0"/>
    <x v="9"/>
    <x v="0"/>
    <x v="12"/>
  </r>
  <r>
    <x v="21"/>
    <x v="1"/>
    <x v="359"/>
    <x v="0"/>
    <x v="1"/>
    <x v="0"/>
    <x v="9"/>
    <x v="0"/>
    <x v="3"/>
  </r>
  <r>
    <x v="21"/>
    <x v="1"/>
    <x v="360"/>
    <x v="0"/>
    <x v="1"/>
    <x v="0"/>
    <x v="22"/>
    <x v="1"/>
    <x v="15"/>
  </r>
  <r>
    <x v="21"/>
    <x v="1"/>
    <x v="361"/>
    <x v="0"/>
    <x v="1"/>
    <x v="0"/>
    <x v="22"/>
    <x v="1"/>
    <x v="0"/>
  </r>
  <r>
    <x v="21"/>
    <x v="1"/>
    <x v="362"/>
    <x v="0"/>
    <x v="0"/>
    <x v="0"/>
    <x v="15"/>
    <x v="1"/>
    <x v="12"/>
  </r>
  <r>
    <x v="21"/>
    <x v="1"/>
    <x v="363"/>
    <x v="0"/>
    <x v="1"/>
    <x v="0"/>
    <x v="16"/>
    <x v="0"/>
    <x v="0"/>
  </r>
  <r>
    <x v="21"/>
    <x v="1"/>
    <x v="364"/>
    <x v="0"/>
    <x v="1"/>
    <x v="0"/>
    <x v="16"/>
    <x v="0"/>
    <x v="10"/>
  </r>
  <r>
    <x v="21"/>
    <x v="1"/>
    <x v="365"/>
    <x v="0"/>
    <x v="1"/>
    <x v="0"/>
    <x v="16"/>
    <x v="0"/>
    <x v="8"/>
  </r>
  <r>
    <x v="22"/>
    <x v="1"/>
    <x v="366"/>
    <x v="0"/>
    <x v="1"/>
    <x v="0"/>
    <x v="20"/>
    <x v="2"/>
    <x v="0"/>
  </r>
  <r>
    <x v="22"/>
    <x v="1"/>
    <x v="367"/>
    <x v="0"/>
    <x v="1"/>
    <x v="0"/>
    <x v="14"/>
    <x v="2"/>
    <x v="0"/>
  </r>
  <r>
    <x v="22"/>
    <x v="1"/>
    <x v="368"/>
    <x v="0"/>
    <x v="0"/>
    <x v="0"/>
    <x v="22"/>
    <x v="1"/>
    <x v="12"/>
  </r>
  <r>
    <x v="22"/>
    <x v="1"/>
    <x v="369"/>
    <x v="0"/>
    <x v="1"/>
    <x v="0"/>
    <x v="14"/>
    <x v="2"/>
    <x v="9"/>
  </r>
  <r>
    <x v="22"/>
    <x v="1"/>
    <x v="370"/>
    <x v="0"/>
    <x v="1"/>
    <x v="0"/>
    <x v="14"/>
    <x v="2"/>
    <x v="9"/>
  </r>
  <r>
    <x v="22"/>
    <x v="1"/>
    <x v="371"/>
    <x v="0"/>
    <x v="1"/>
    <x v="0"/>
    <x v="22"/>
    <x v="1"/>
    <x v="9"/>
  </r>
  <r>
    <x v="22"/>
    <x v="1"/>
    <x v="372"/>
    <x v="0"/>
    <x v="0"/>
    <x v="0"/>
    <x v="20"/>
    <x v="2"/>
    <x v="11"/>
  </r>
  <r>
    <x v="22"/>
    <x v="1"/>
    <x v="373"/>
    <x v="0"/>
    <x v="0"/>
    <x v="0"/>
    <x v="14"/>
    <x v="2"/>
    <x v="0"/>
  </r>
  <r>
    <x v="22"/>
    <x v="1"/>
    <x v="374"/>
    <x v="0"/>
    <x v="1"/>
    <x v="0"/>
    <x v="22"/>
    <x v="1"/>
    <x v="9"/>
  </r>
  <r>
    <x v="22"/>
    <x v="1"/>
    <x v="375"/>
    <x v="0"/>
    <x v="1"/>
    <x v="0"/>
    <x v="22"/>
    <x v="1"/>
    <x v="9"/>
  </r>
  <r>
    <x v="22"/>
    <x v="1"/>
    <x v="376"/>
    <x v="0"/>
    <x v="1"/>
    <x v="0"/>
    <x v="16"/>
    <x v="0"/>
    <x v="0"/>
  </r>
  <r>
    <x v="22"/>
    <x v="1"/>
    <x v="377"/>
    <x v="0"/>
    <x v="1"/>
    <x v="0"/>
    <x v="16"/>
    <x v="0"/>
    <x v="0"/>
  </r>
  <r>
    <x v="22"/>
    <x v="1"/>
    <x v="378"/>
    <x v="0"/>
    <x v="1"/>
    <x v="0"/>
    <x v="16"/>
    <x v="0"/>
    <x v="8"/>
  </r>
  <r>
    <x v="22"/>
    <x v="1"/>
    <x v="379"/>
    <x v="0"/>
    <x v="1"/>
    <x v="0"/>
    <x v="16"/>
    <x v="0"/>
    <x v="9"/>
  </r>
  <r>
    <x v="23"/>
    <x v="1"/>
    <x v="380"/>
    <x v="0"/>
    <x v="0"/>
    <x v="0"/>
    <x v="8"/>
    <x v="2"/>
    <x v="0"/>
  </r>
  <r>
    <x v="23"/>
    <x v="1"/>
    <x v="381"/>
    <x v="0"/>
    <x v="0"/>
    <x v="0"/>
    <x v="8"/>
    <x v="2"/>
    <x v="0"/>
  </r>
  <r>
    <x v="23"/>
    <x v="1"/>
    <x v="382"/>
    <x v="0"/>
    <x v="1"/>
    <x v="0"/>
    <x v="8"/>
    <x v="2"/>
    <x v="19"/>
  </r>
  <r>
    <x v="23"/>
    <x v="1"/>
    <x v="383"/>
    <x v="0"/>
    <x v="1"/>
    <x v="0"/>
    <x v="8"/>
    <x v="2"/>
    <x v="0"/>
  </r>
  <r>
    <x v="23"/>
    <x v="1"/>
    <x v="384"/>
    <x v="0"/>
    <x v="1"/>
    <x v="0"/>
    <x v="8"/>
    <x v="2"/>
    <x v="0"/>
  </r>
  <r>
    <x v="5"/>
    <x v="1"/>
    <x v="24"/>
    <x v="0"/>
    <x v="1"/>
    <x v="0"/>
    <x v="5"/>
    <x v="2"/>
    <x v="19"/>
  </r>
  <r>
    <x v="23"/>
    <x v="1"/>
    <x v="385"/>
    <x v="0"/>
    <x v="1"/>
    <x v="0"/>
    <x v="16"/>
    <x v="0"/>
    <x v="15"/>
  </r>
  <r>
    <x v="23"/>
    <x v="1"/>
    <x v="386"/>
    <x v="0"/>
    <x v="1"/>
    <x v="0"/>
    <x v="16"/>
    <x v="0"/>
    <x v="10"/>
  </r>
  <r>
    <x v="23"/>
    <x v="1"/>
    <x v="387"/>
    <x v="0"/>
    <x v="0"/>
    <x v="0"/>
    <x v="8"/>
    <x v="2"/>
    <x v="0"/>
  </r>
  <r>
    <x v="23"/>
    <x v="1"/>
    <x v="388"/>
    <x v="0"/>
    <x v="0"/>
    <x v="0"/>
    <x v="8"/>
    <x v="2"/>
    <x v="0"/>
  </r>
  <r>
    <x v="23"/>
    <x v="1"/>
    <x v="389"/>
    <x v="0"/>
    <x v="1"/>
    <x v="0"/>
    <x v="8"/>
    <x v="2"/>
    <x v="5"/>
  </r>
  <r>
    <x v="23"/>
    <x v="1"/>
    <x v="390"/>
    <x v="0"/>
    <x v="1"/>
    <x v="0"/>
    <x v="8"/>
    <x v="2"/>
    <x v="9"/>
  </r>
  <r>
    <x v="23"/>
    <x v="1"/>
    <x v="391"/>
    <x v="0"/>
    <x v="0"/>
    <x v="0"/>
    <x v="16"/>
    <x v="0"/>
    <x v="0"/>
  </r>
  <r>
    <x v="23"/>
    <x v="1"/>
    <x v="392"/>
    <x v="0"/>
    <x v="0"/>
    <x v="0"/>
    <x v="16"/>
    <x v="0"/>
    <x v="0"/>
  </r>
  <r>
    <x v="23"/>
    <x v="1"/>
    <x v="393"/>
    <x v="0"/>
    <x v="0"/>
    <x v="0"/>
    <x v="23"/>
    <x v="1"/>
    <x v="4"/>
  </r>
  <r>
    <x v="24"/>
    <x v="1"/>
    <x v="394"/>
    <x v="0"/>
    <x v="1"/>
    <x v="0"/>
    <x v="10"/>
    <x v="1"/>
    <x v="8"/>
  </r>
  <r>
    <x v="24"/>
    <x v="1"/>
    <x v="395"/>
    <x v="0"/>
    <x v="1"/>
    <x v="0"/>
    <x v="14"/>
    <x v="2"/>
    <x v="15"/>
  </r>
  <r>
    <x v="24"/>
    <x v="1"/>
    <x v="396"/>
    <x v="0"/>
    <x v="1"/>
    <x v="0"/>
    <x v="14"/>
    <x v="2"/>
    <x v="0"/>
  </r>
  <r>
    <x v="24"/>
    <x v="1"/>
    <x v="397"/>
    <x v="0"/>
    <x v="1"/>
    <x v="0"/>
    <x v="19"/>
    <x v="2"/>
    <x v="22"/>
  </r>
  <r>
    <x v="24"/>
    <x v="1"/>
    <x v="398"/>
    <x v="0"/>
    <x v="0"/>
    <x v="0"/>
    <x v="14"/>
    <x v="2"/>
    <x v="0"/>
  </r>
  <r>
    <x v="24"/>
    <x v="1"/>
    <x v="399"/>
    <x v="0"/>
    <x v="0"/>
    <x v="0"/>
    <x v="0"/>
    <x v="2"/>
    <x v="0"/>
  </r>
  <r>
    <x v="24"/>
    <x v="1"/>
    <x v="400"/>
    <x v="0"/>
    <x v="1"/>
    <x v="0"/>
    <x v="16"/>
    <x v="0"/>
    <x v="0"/>
  </r>
  <r>
    <x v="24"/>
    <x v="1"/>
    <x v="401"/>
    <x v="0"/>
    <x v="1"/>
    <x v="0"/>
    <x v="16"/>
    <x v="0"/>
    <x v="15"/>
  </r>
  <r>
    <x v="24"/>
    <x v="1"/>
    <x v="402"/>
    <x v="0"/>
    <x v="1"/>
    <x v="0"/>
    <x v="14"/>
    <x v="2"/>
    <x v="9"/>
  </r>
  <r>
    <x v="24"/>
    <x v="1"/>
    <x v="403"/>
    <x v="0"/>
    <x v="1"/>
    <x v="0"/>
    <x v="14"/>
    <x v="2"/>
    <x v="9"/>
  </r>
  <r>
    <x v="24"/>
    <x v="1"/>
    <x v="404"/>
    <x v="0"/>
    <x v="0"/>
    <x v="0"/>
    <x v="20"/>
    <x v="2"/>
    <x v="3"/>
  </r>
  <r>
    <x v="24"/>
    <x v="1"/>
    <x v="405"/>
    <x v="0"/>
    <x v="1"/>
    <x v="0"/>
    <x v="14"/>
    <x v="2"/>
    <x v="12"/>
  </r>
  <r>
    <x v="24"/>
    <x v="1"/>
    <x v="406"/>
    <x v="0"/>
    <x v="1"/>
    <x v="0"/>
    <x v="16"/>
    <x v="0"/>
    <x v="0"/>
  </r>
  <r>
    <x v="24"/>
    <x v="1"/>
    <x v="407"/>
    <x v="0"/>
    <x v="1"/>
    <x v="0"/>
    <x v="16"/>
    <x v="0"/>
    <x v="0"/>
  </r>
  <r>
    <x v="25"/>
    <x v="1"/>
    <x v="408"/>
    <x v="0"/>
    <x v="1"/>
    <x v="0"/>
    <x v="14"/>
    <x v="2"/>
    <x v="12"/>
  </r>
  <r>
    <x v="25"/>
    <x v="1"/>
    <x v="409"/>
    <x v="0"/>
    <x v="1"/>
    <x v="0"/>
    <x v="14"/>
    <x v="2"/>
    <x v="0"/>
  </r>
  <r>
    <x v="25"/>
    <x v="1"/>
    <x v="410"/>
    <x v="0"/>
    <x v="1"/>
    <x v="0"/>
    <x v="25"/>
    <x v="0"/>
    <x v="0"/>
  </r>
  <r>
    <x v="25"/>
    <x v="1"/>
    <x v="411"/>
    <x v="0"/>
    <x v="1"/>
    <x v="0"/>
    <x v="25"/>
    <x v="0"/>
    <x v="0"/>
  </r>
  <r>
    <x v="25"/>
    <x v="1"/>
    <x v="412"/>
    <x v="0"/>
    <x v="0"/>
    <x v="0"/>
    <x v="27"/>
    <x v="1"/>
    <x v="10"/>
  </r>
  <r>
    <x v="25"/>
    <x v="1"/>
    <x v="413"/>
    <x v="0"/>
    <x v="1"/>
    <x v="0"/>
    <x v="0"/>
    <x v="2"/>
    <x v="15"/>
  </r>
  <r>
    <x v="25"/>
    <x v="1"/>
    <x v="414"/>
    <x v="0"/>
    <x v="1"/>
    <x v="0"/>
    <x v="20"/>
    <x v="2"/>
    <x v="9"/>
  </r>
  <r>
    <x v="25"/>
    <x v="1"/>
    <x v="415"/>
    <x v="0"/>
    <x v="1"/>
    <x v="0"/>
    <x v="25"/>
    <x v="0"/>
    <x v="0"/>
  </r>
  <r>
    <x v="25"/>
    <x v="1"/>
    <x v="416"/>
    <x v="0"/>
    <x v="1"/>
    <x v="0"/>
    <x v="25"/>
    <x v="0"/>
    <x v="0"/>
  </r>
  <r>
    <x v="25"/>
    <x v="1"/>
    <x v="417"/>
    <x v="0"/>
    <x v="1"/>
    <x v="0"/>
    <x v="27"/>
    <x v="1"/>
    <x v="9"/>
  </r>
  <r>
    <x v="25"/>
    <x v="1"/>
    <x v="418"/>
    <x v="0"/>
    <x v="1"/>
    <x v="0"/>
    <x v="27"/>
    <x v="1"/>
    <x v="9"/>
  </r>
  <r>
    <x v="25"/>
    <x v="1"/>
    <x v="419"/>
    <x v="0"/>
    <x v="0"/>
    <x v="0"/>
    <x v="14"/>
    <x v="2"/>
    <x v="9"/>
  </r>
  <r>
    <x v="25"/>
    <x v="1"/>
    <x v="420"/>
    <x v="0"/>
    <x v="1"/>
    <x v="0"/>
    <x v="25"/>
    <x v="0"/>
    <x v="0"/>
  </r>
  <r>
    <x v="25"/>
    <x v="1"/>
    <x v="421"/>
    <x v="0"/>
    <x v="1"/>
    <x v="0"/>
    <x v="25"/>
    <x v="0"/>
    <x v="15"/>
  </r>
  <r>
    <x v="25"/>
    <x v="1"/>
    <x v="422"/>
    <x v="0"/>
    <x v="1"/>
    <x v="0"/>
    <x v="27"/>
    <x v="1"/>
    <x v="0"/>
  </r>
  <r>
    <x v="25"/>
    <x v="1"/>
    <x v="423"/>
    <x v="0"/>
    <x v="0"/>
    <x v="0"/>
    <x v="16"/>
    <x v="0"/>
    <x v="12"/>
  </r>
  <r>
    <x v="25"/>
    <x v="1"/>
    <x v="424"/>
    <x v="0"/>
    <x v="1"/>
    <x v="0"/>
    <x v="16"/>
    <x v="0"/>
    <x v="0"/>
  </r>
  <r>
    <x v="25"/>
    <x v="1"/>
    <x v="425"/>
    <x v="0"/>
    <x v="1"/>
    <x v="0"/>
    <x v="16"/>
    <x v="0"/>
    <x v="0"/>
  </r>
  <r>
    <x v="25"/>
    <x v="1"/>
    <x v="426"/>
    <x v="0"/>
    <x v="1"/>
    <x v="0"/>
    <x v="0"/>
    <x v="2"/>
    <x v="7"/>
  </r>
  <r>
    <x v="25"/>
    <x v="1"/>
    <x v="427"/>
    <x v="0"/>
    <x v="0"/>
    <x v="0"/>
    <x v="25"/>
    <x v="0"/>
    <x v="22"/>
  </r>
  <r>
    <x v="25"/>
    <x v="1"/>
    <x v="428"/>
    <x v="0"/>
    <x v="0"/>
    <x v="0"/>
    <x v="27"/>
    <x v="1"/>
    <x v="1"/>
  </r>
  <r>
    <x v="26"/>
    <x v="1"/>
    <x v="429"/>
    <x v="0"/>
    <x v="0"/>
    <x v="0"/>
    <x v="9"/>
    <x v="0"/>
    <x v="15"/>
  </r>
  <r>
    <x v="26"/>
    <x v="1"/>
    <x v="430"/>
    <x v="0"/>
    <x v="0"/>
    <x v="0"/>
    <x v="9"/>
    <x v="0"/>
    <x v="0"/>
  </r>
  <r>
    <x v="26"/>
    <x v="1"/>
    <x v="431"/>
    <x v="0"/>
    <x v="0"/>
    <x v="0"/>
    <x v="9"/>
    <x v="0"/>
    <x v="0"/>
  </r>
  <r>
    <x v="26"/>
    <x v="1"/>
    <x v="432"/>
    <x v="0"/>
    <x v="0"/>
    <x v="0"/>
    <x v="16"/>
    <x v="0"/>
    <x v="15"/>
  </r>
  <r>
    <x v="27"/>
    <x v="1"/>
    <x v="433"/>
    <x v="0"/>
    <x v="0"/>
    <x v="0"/>
    <x v="10"/>
    <x v="1"/>
    <x v="9"/>
  </r>
  <r>
    <x v="27"/>
    <x v="1"/>
    <x v="434"/>
    <x v="0"/>
    <x v="1"/>
    <x v="0"/>
    <x v="10"/>
    <x v="1"/>
    <x v="13"/>
  </r>
  <r>
    <x v="27"/>
    <x v="1"/>
    <x v="435"/>
    <x v="0"/>
    <x v="1"/>
    <x v="0"/>
    <x v="10"/>
    <x v="1"/>
    <x v="0"/>
  </r>
  <r>
    <x v="27"/>
    <x v="1"/>
    <x v="436"/>
    <x v="0"/>
    <x v="0"/>
    <x v="0"/>
    <x v="16"/>
    <x v="0"/>
    <x v="0"/>
  </r>
  <r>
    <x v="28"/>
    <x v="1"/>
    <x v="437"/>
    <x v="0"/>
    <x v="1"/>
    <x v="0"/>
    <x v="3"/>
    <x v="0"/>
    <x v="7"/>
  </r>
  <r>
    <x v="28"/>
    <x v="1"/>
    <x v="438"/>
    <x v="0"/>
    <x v="1"/>
    <x v="0"/>
    <x v="3"/>
    <x v="0"/>
    <x v="9"/>
  </r>
  <r>
    <x v="28"/>
    <x v="1"/>
    <x v="439"/>
    <x v="0"/>
    <x v="0"/>
    <x v="0"/>
    <x v="3"/>
    <x v="0"/>
    <x v="0"/>
  </r>
  <r>
    <x v="28"/>
    <x v="1"/>
    <x v="440"/>
    <x v="0"/>
    <x v="1"/>
    <x v="0"/>
    <x v="16"/>
    <x v="0"/>
    <x v="0"/>
  </r>
  <r>
    <x v="28"/>
    <x v="1"/>
    <x v="441"/>
    <x v="0"/>
    <x v="0"/>
    <x v="0"/>
    <x v="23"/>
    <x v="1"/>
    <x v="0"/>
  </r>
  <r>
    <x v="28"/>
    <x v="1"/>
    <x v="442"/>
    <x v="0"/>
    <x v="0"/>
    <x v="0"/>
    <x v="7"/>
    <x v="0"/>
    <x v="0"/>
  </r>
  <r>
    <x v="28"/>
    <x v="1"/>
    <x v="443"/>
    <x v="0"/>
    <x v="0"/>
    <x v="0"/>
    <x v="7"/>
    <x v="0"/>
    <x v="8"/>
  </r>
  <r>
    <x v="28"/>
    <x v="1"/>
    <x v="444"/>
    <x v="0"/>
    <x v="0"/>
    <x v="0"/>
    <x v="23"/>
    <x v="1"/>
    <x v="0"/>
  </r>
  <r>
    <x v="28"/>
    <x v="1"/>
    <x v="445"/>
    <x v="0"/>
    <x v="0"/>
    <x v="0"/>
    <x v="23"/>
    <x v="1"/>
    <x v="0"/>
  </r>
  <r>
    <x v="29"/>
    <x v="1"/>
    <x v="446"/>
    <x v="0"/>
    <x v="1"/>
    <x v="0"/>
    <x v="27"/>
    <x v="1"/>
    <x v="5"/>
  </r>
  <r>
    <x v="29"/>
    <x v="1"/>
    <x v="447"/>
    <x v="0"/>
    <x v="1"/>
    <x v="0"/>
    <x v="27"/>
    <x v="1"/>
    <x v="15"/>
  </r>
  <r>
    <x v="29"/>
    <x v="1"/>
    <x v="448"/>
    <x v="0"/>
    <x v="1"/>
    <x v="0"/>
    <x v="27"/>
    <x v="1"/>
    <x v="0"/>
  </r>
  <r>
    <x v="29"/>
    <x v="1"/>
    <x v="449"/>
    <x v="0"/>
    <x v="1"/>
    <x v="0"/>
    <x v="19"/>
    <x v="2"/>
    <x v="22"/>
  </r>
  <r>
    <x v="29"/>
    <x v="1"/>
    <x v="450"/>
    <x v="0"/>
    <x v="1"/>
    <x v="0"/>
    <x v="14"/>
    <x v="2"/>
    <x v="13"/>
  </r>
  <r>
    <x v="29"/>
    <x v="1"/>
    <x v="451"/>
    <x v="0"/>
    <x v="0"/>
    <x v="0"/>
    <x v="8"/>
    <x v="2"/>
    <x v="4"/>
  </r>
  <r>
    <x v="29"/>
    <x v="1"/>
    <x v="452"/>
    <x v="0"/>
    <x v="1"/>
    <x v="0"/>
    <x v="14"/>
    <x v="2"/>
    <x v="12"/>
  </r>
  <r>
    <x v="29"/>
    <x v="1"/>
    <x v="453"/>
    <x v="0"/>
    <x v="1"/>
    <x v="0"/>
    <x v="16"/>
    <x v="0"/>
    <x v="9"/>
  </r>
  <r>
    <x v="30"/>
    <x v="1"/>
    <x v="454"/>
    <x v="0"/>
    <x v="0"/>
    <x v="0"/>
    <x v="22"/>
    <x v="1"/>
    <x v="5"/>
  </r>
  <r>
    <x v="30"/>
    <x v="1"/>
    <x v="455"/>
    <x v="0"/>
    <x v="1"/>
    <x v="0"/>
    <x v="22"/>
    <x v="1"/>
    <x v="0"/>
  </r>
  <r>
    <x v="30"/>
    <x v="1"/>
    <x v="456"/>
    <x v="0"/>
    <x v="1"/>
    <x v="0"/>
    <x v="22"/>
    <x v="1"/>
    <x v="0"/>
  </r>
  <r>
    <x v="30"/>
    <x v="1"/>
    <x v="457"/>
    <x v="0"/>
    <x v="1"/>
    <x v="0"/>
    <x v="22"/>
    <x v="1"/>
    <x v="0"/>
  </r>
  <r>
    <x v="30"/>
    <x v="1"/>
    <x v="458"/>
    <x v="0"/>
    <x v="0"/>
    <x v="0"/>
    <x v="21"/>
    <x v="1"/>
    <x v="12"/>
  </r>
  <r>
    <x v="30"/>
    <x v="1"/>
    <x v="459"/>
    <x v="0"/>
    <x v="1"/>
    <x v="0"/>
    <x v="22"/>
    <x v="1"/>
    <x v="0"/>
  </r>
  <r>
    <x v="30"/>
    <x v="1"/>
    <x v="460"/>
    <x v="0"/>
    <x v="1"/>
    <x v="0"/>
    <x v="21"/>
    <x v="1"/>
    <x v="9"/>
  </r>
  <r>
    <x v="30"/>
    <x v="1"/>
    <x v="461"/>
    <x v="0"/>
    <x v="1"/>
    <x v="0"/>
    <x v="8"/>
    <x v="2"/>
    <x v="0"/>
  </r>
  <r>
    <x v="30"/>
    <x v="1"/>
    <x v="462"/>
    <x v="0"/>
    <x v="1"/>
    <x v="0"/>
    <x v="21"/>
    <x v="1"/>
    <x v="7"/>
  </r>
  <r>
    <x v="30"/>
    <x v="1"/>
    <x v="463"/>
    <x v="0"/>
    <x v="0"/>
    <x v="0"/>
    <x v="16"/>
    <x v="0"/>
    <x v="0"/>
  </r>
  <r>
    <x v="31"/>
    <x v="1"/>
    <x v="464"/>
    <x v="0"/>
    <x v="1"/>
    <x v="0"/>
    <x v="18"/>
    <x v="0"/>
    <x v="4"/>
  </r>
  <r>
    <x v="31"/>
    <x v="1"/>
    <x v="465"/>
    <x v="0"/>
    <x v="1"/>
    <x v="0"/>
    <x v="10"/>
    <x v="1"/>
    <x v="14"/>
  </r>
  <r>
    <x v="31"/>
    <x v="1"/>
    <x v="466"/>
    <x v="0"/>
    <x v="0"/>
    <x v="0"/>
    <x v="18"/>
    <x v="0"/>
    <x v="4"/>
  </r>
  <r>
    <x v="31"/>
    <x v="1"/>
    <x v="467"/>
    <x v="0"/>
    <x v="1"/>
    <x v="0"/>
    <x v="10"/>
    <x v="1"/>
    <x v="9"/>
  </r>
  <r>
    <x v="31"/>
    <x v="1"/>
    <x v="468"/>
    <x v="0"/>
    <x v="1"/>
    <x v="0"/>
    <x v="18"/>
    <x v="0"/>
    <x v="7"/>
  </r>
  <r>
    <x v="31"/>
    <x v="1"/>
    <x v="469"/>
    <x v="0"/>
    <x v="1"/>
    <x v="0"/>
    <x v="10"/>
    <x v="1"/>
    <x v="12"/>
  </r>
  <r>
    <x v="31"/>
    <x v="1"/>
    <x v="470"/>
    <x v="0"/>
    <x v="0"/>
    <x v="0"/>
    <x v="18"/>
    <x v="0"/>
    <x v="0"/>
  </r>
  <r>
    <x v="31"/>
    <x v="1"/>
    <x v="471"/>
    <x v="0"/>
    <x v="1"/>
    <x v="0"/>
    <x v="10"/>
    <x v="1"/>
    <x v="9"/>
  </r>
  <r>
    <x v="31"/>
    <x v="1"/>
    <x v="472"/>
    <x v="0"/>
    <x v="1"/>
    <x v="0"/>
    <x v="21"/>
    <x v="1"/>
    <x v="4"/>
  </r>
  <r>
    <x v="31"/>
    <x v="1"/>
    <x v="473"/>
    <x v="0"/>
    <x v="1"/>
    <x v="0"/>
    <x v="10"/>
    <x v="1"/>
    <x v="0"/>
  </r>
  <r>
    <x v="31"/>
    <x v="1"/>
    <x v="474"/>
    <x v="0"/>
    <x v="0"/>
    <x v="1"/>
    <x v="18"/>
    <x v="0"/>
    <x v="0"/>
  </r>
  <r>
    <x v="31"/>
    <x v="1"/>
    <x v="475"/>
    <x v="0"/>
    <x v="1"/>
    <x v="0"/>
    <x v="10"/>
    <x v="1"/>
    <x v="22"/>
  </r>
  <r>
    <x v="31"/>
    <x v="1"/>
    <x v="476"/>
    <x v="0"/>
    <x v="1"/>
    <x v="0"/>
    <x v="21"/>
    <x v="1"/>
    <x v="7"/>
  </r>
  <r>
    <x v="31"/>
    <x v="1"/>
    <x v="477"/>
    <x v="0"/>
    <x v="1"/>
    <x v="0"/>
    <x v="10"/>
    <x v="1"/>
    <x v="0"/>
  </r>
  <r>
    <x v="31"/>
    <x v="1"/>
    <x v="478"/>
    <x v="0"/>
    <x v="0"/>
    <x v="0"/>
    <x v="21"/>
    <x v="1"/>
    <x v="0"/>
  </r>
  <r>
    <x v="31"/>
    <x v="1"/>
    <x v="479"/>
    <x v="0"/>
    <x v="1"/>
    <x v="0"/>
    <x v="9"/>
    <x v="0"/>
    <x v="4"/>
  </r>
  <r>
    <x v="31"/>
    <x v="1"/>
    <x v="480"/>
    <x v="0"/>
    <x v="1"/>
    <x v="0"/>
    <x v="21"/>
    <x v="1"/>
    <x v="9"/>
  </r>
  <r>
    <x v="31"/>
    <x v="1"/>
    <x v="481"/>
    <x v="0"/>
    <x v="1"/>
    <x v="0"/>
    <x v="10"/>
    <x v="1"/>
    <x v="12"/>
  </r>
  <r>
    <x v="31"/>
    <x v="1"/>
    <x v="482"/>
    <x v="0"/>
    <x v="0"/>
    <x v="0"/>
    <x v="8"/>
    <x v="2"/>
    <x v="0"/>
  </r>
  <r>
    <x v="31"/>
    <x v="1"/>
    <x v="483"/>
    <x v="0"/>
    <x v="0"/>
    <x v="0"/>
    <x v="4"/>
    <x v="2"/>
    <x v="16"/>
  </r>
  <r>
    <x v="31"/>
    <x v="1"/>
    <x v="484"/>
    <x v="0"/>
    <x v="1"/>
    <x v="0"/>
    <x v="23"/>
    <x v="1"/>
    <x v="0"/>
  </r>
  <r>
    <x v="32"/>
    <x v="1"/>
    <x v="485"/>
    <x v="0"/>
    <x v="0"/>
    <x v="0"/>
    <x v="23"/>
    <x v="1"/>
    <x v="12"/>
  </r>
  <r>
    <x v="33"/>
    <x v="1"/>
    <x v="486"/>
    <x v="0"/>
    <x v="0"/>
    <x v="0"/>
    <x v="11"/>
    <x v="2"/>
    <x v="0"/>
  </r>
  <r>
    <x v="33"/>
    <x v="1"/>
    <x v="487"/>
    <x v="0"/>
    <x v="1"/>
    <x v="0"/>
    <x v="15"/>
    <x v="1"/>
    <x v="0"/>
  </r>
  <r>
    <x v="33"/>
    <x v="1"/>
    <x v="488"/>
    <x v="0"/>
    <x v="1"/>
    <x v="0"/>
    <x v="14"/>
    <x v="2"/>
    <x v="7"/>
  </r>
  <r>
    <x v="33"/>
    <x v="1"/>
    <x v="489"/>
    <x v="0"/>
    <x v="1"/>
    <x v="0"/>
    <x v="15"/>
    <x v="1"/>
    <x v="16"/>
  </r>
  <r>
    <x v="33"/>
    <x v="1"/>
    <x v="490"/>
    <x v="0"/>
    <x v="1"/>
    <x v="0"/>
    <x v="20"/>
    <x v="2"/>
    <x v="4"/>
  </r>
  <r>
    <x v="33"/>
    <x v="1"/>
    <x v="491"/>
    <x v="0"/>
    <x v="1"/>
    <x v="0"/>
    <x v="15"/>
    <x v="1"/>
    <x v="9"/>
  </r>
  <r>
    <x v="33"/>
    <x v="1"/>
    <x v="492"/>
    <x v="0"/>
    <x v="1"/>
    <x v="0"/>
    <x v="15"/>
    <x v="1"/>
    <x v="0"/>
  </r>
  <r>
    <x v="33"/>
    <x v="1"/>
    <x v="493"/>
    <x v="0"/>
    <x v="1"/>
    <x v="0"/>
    <x v="15"/>
    <x v="1"/>
    <x v="0"/>
  </r>
  <r>
    <x v="33"/>
    <x v="1"/>
    <x v="494"/>
    <x v="0"/>
    <x v="0"/>
    <x v="0"/>
    <x v="15"/>
    <x v="1"/>
    <x v="4"/>
  </r>
  <r>
    <x v="33"/>
    <x v="1"/>
    <x v="495"/>
    <x v="0"/>
    <x v="1"/>
    <x v="0"/>
    <x v="15"/>
    <x v="1"/>
    <x v="0"/>
  </r>
  <r>
    <x v="33"/>
    <x v="1"/>
    <x v="496"/>
    <x v="0"/>
    <x v="1"/>
    <x v="0"/>
    <x v="15"/>
    <x v="1"/>
    <x v="12"/>
  </r>
  <r>
    <x v="33"/>
    <x v="1"/>
    <x v="497"/>
    <x v="0"/>
    <x v="0"/>
    <x v="0"/>
    <x v="15"/>
    <x v="1"/>
    <x v="0"/>
  </r>
  <r>
    <x v="33"/>
    <x v="1"/>
    <x v="498"/>
    <x v="0"/>
    <x v="0"/>
    <x v="0"/>
    <x v="15"/>
    <x v="1"/>
    <x v="0"/>
  </r>
  <r>
    <x v="33"/>
    <x v="1"/>
    <x v="499"/>
    <x v="0"/>
    <x v="1"/>
    <x v="0"/>
    <x v="15"/>
    <x v="1"/>
    <x v="22"/>
  </r>
  <r>
    <x v="33"/>
    <x v="1"/>
    <x v="500"/>
    <x v="0"/>
    <x v="1"/>
    <x v="0"/>
    <x v="15"/>
    <x v="1"/>
    <x v="22"/>
  </r>
  <r>
    <x v="33"/>
    <x v="1"/>
    <x v="501"/>
    <x v="0"/>
    <x v="1"/>
    <x v="0"/>
    <x v="19"/>
    <x v="2"/>
    <x v="4"/>
  </r>
  <r>
    <x v="33"/>
    <x v="1"/>
    <x v="502"/>
    <x v="0"/>
    <x v="1"/>
    <x v="0"/>
    <x v="19"/>
    <x v="2"/>
    <x v="4"/>
  </r>
  <r>
    <x v="33"/>
    <x v="1"/>
    <x v="503"/>
    <x v="0"/>
    <x v="1"/>
    <x v="0"/>
    <x v="0"/>
    <x v="2"/>
    <x v="12"/>
  </r>
  <r>
    <x v="34"/>
    <x v="2"/>
    <x v="504"/>
    <x v="0"/>
    <x v="1"/>
    <x v="0"/>
    <x v="20"/>
    <x v="2"/>
    <x v="6"/>
  </r>
  <r>
    <x v="34"/>
    <x v="2"/>
    <x v="505"/>
    <x v="0"/>
    <x v="1"/>
    <x v="0"/>
    <x v="21"/>
    <x v="1"/>
    <x v="5"/>
  </r>
  <r>
    <x v="34"/>
    <x v="2"/>
    <x v="506"/>
    <x v="0"/>
    <x v="1"/>
    <x v="0"/>
    <x v="21"/>
    <x v="1"/>
    <x v="5"/>
  </r>
  <r>
    <x v="34"/>
    <x v="2"/>
    <x v="507"/>
    <x v="0"/>
    <x v="1"/>
    <x v="0"/>
    <x v="21"/>
    <x v="1"/>
    <x v="5"/>
  </r>
  <r>
    <x v="34"/>
    <x v="2"/>
    <x v="508"/>
    <x v="0"/>
    <x v="1"/>
    <x v="1"/>
    <x v="14"/>
    <x v="2"/>
    <x v="0"/>
  </r>
  <r>
    <x v="34"/>
    <x v="2"/>
    <x v="509"/>
    <x v="0"/>
    <x v="1"/>
    <x v="1"/>
    <x v="14"/>
    <x v="2"/>
    <x v="0"/>
  </r>
  <r>
    <x v="34"/>
    <x v="2"/>
    <x v="510"/>
    <x v="0"/>
    <x v="1"/>
    <x v="1"/>
    <x v="14"/>
    <x v="2"/>
    <x v="0"/>
  </r>
  <r>
    <x v="34"/>
    <x v="2"/>
    <x v="511"/>
    <x v="0"/>
    <x v="0"/>
    <x v="0"/>
    <x v="21"/>
    <x v="1"/>
    <x v="8"/>
  </r>
  <r>
    <x v="34"/>
    <x v="2"/>
    <x v="512"/>
    <x v="0"/>
    <x v="0"/>
    <x v="0"/>
    <x v="21"/>
    <x v="1"/>
    <x v="8"/>
  </r>
  <r>
    <x v="34"/>
    <x v="2"/>
    <x v="513"/>
    <x v="0"/>
    <x v="0"/>
    <x v="0"/>
    <x v="21"/>
    <x v="1"/>
    <x v="8"/>
  </r>
  <r>
    <x v="35"/>
    <x v="2"/>
    <x v="514"/>
    <x v="0"/>
    <x v="2"/>
    <x v="0"/>
    <x v="18"/>
    <x v="0"/>
    <x v="12"/>
  </r>
  <r>
    <x v="35"/>
    <x v="2"/>
    <x v="515"/>
    <x v="0"/>
    <x v="2"/>
    <x v="0"/>
    <x v="18"/>
    <x v="0"/>
    <x v="0"/>
  </r>
  <r>
    <x v="35"/>
    <x v="2"/>
    <x v="516"/>
    <x v="0"/>
    <x v="2"/>
    <x v="0"/>
    <x v="18"/>
    <x v="0"/>
    <x v="1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B5:D33" firstHeaderRow="1" firstDataRow="1" firstDataCol="2" rowPageCount="2" colPageCount="1"/>
  <pivotFields count="9">
    <pivotField compact="0" showAll="0"/>
    <pivotField axis="axisPage" compact="0" showAll="0" defaultSubtotal="0" outline="0">
      <items count="3">
        <item h="1" x="0"/>
        <item x="1"/>
        <item h="1" x="2"/>
      </items>
    </pivotField>
    <pivotField compact="0" showAll="0"/>
    <pivotField compact="0" showAll="0"/>
    <pivotField compact="0" showAll="0"/>
    <pivotField axis="axisPage" compact="0" showAll="0" defaultSubtotal="0" outline="0">
      <items count="2">
        <item x="0"/>
        <item h="1" x="1"/>
      </items>
    </pivotField>
    <pivotField axis="axisRow" compact="0" showAll="0" defaultSubtotal="0" outline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axis="axisRow" compact="0" showAll="0" defaultSubtotal="0" outline="0">
      <items count="3">
        <item x="0"/>
        <item x="1"/>
        <item x="2"/>
      </items>
    </pivotField>
    <pivotField dataField="1" compact="0" showAll="0" outline="0"/>
  </pivotFields>
  <rowFields count="2">
    <field x="7"/>
    <field x="6"/>
  </rowFields>
  <rowItems count="28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 v="27"/>
    </i>
  </rowItems>
  <colItems count="1">
    <i t="grand">
      <x v="0"/>
    </i>
  </colItems>
  <pageFields count="2">
    <pageField fld="1" hier="-1"/>
    <pageField fld="5" hier="-1"/>
  </pageFields>
  <dataFields count="1">
    <dataField name="Sum - výše investice" fld="8" subtotal="sum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H5:I9" firstHeaderRow="1" firstDataRow="1" firstDataCol="1" rowPageCount="2" colPageCount="1"/>
  <pivotFields count="9">
    <pivotField compact="0" showAll="0"/>
    <pivotField axis="axisPage" compact="0" showAll="0" defaultSubtotal="0" outline="0">
      <items count="3">
        <item h="1" x="0"/>
        <item x="1"/>
        <item h="1" x="2"/>
      </items>
    </pivotField>
    <pivotField compact="0" showAll="0"/>
    <pivotField compact="0" showAll="0"/>
    <pivotField compact="0" showAll="0"/>
    <pivotField axis="axisPage" compact="0" showAll="0" defaultSubtotal="0" outline="0">
      <items count="2">
        <item x="0"/>
        <item h="1" x="1"/>
      </items>
    </pivotField>
    <pivotField compact="0" showAll="0"/>
    <pivotField axis="axisRow" compact="0" showAll="0" defaultSubtotal="0" outline="0">
      <items count="3">
        <item x="0"/>
        <item x="1"/>
        <item x="2"/>
      </items>
    </pivotField>
    <pivotField dataField="1" compact="0" showAll="0" outline="0"/>
  </pivotFields>
  <rowFields count="1">
    <field x="7"/>
  </rowFields>
  <rowItems count="4">
    <i>
      <x v="0"/>
    </i>
    <i>
      <x v="1"/>
    </i>
    <i>
      <x v="2"/>
    </i>
    <i t="grand">
      <x v="3"/>
    </i>
  </rowItems>
  <colItems count="1">
    <i t="grand">
      <x v="0"/>
    </i>
  </colItems>
  <pageFields count="2">
    <pageField fld="1" hier="-1"/>
    <pageField fld="5" hier="-1"/>
  </pageFields>
  <dataFields count="1">
    <dataField name="Sum - výše investice" fld="8" subtotal="sum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Motiv Office 2013–2022">
  <a:themeElements>
    <a:clrScheme name="Office 2013 –⁠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O8" activeCellId="0" sqref="O8"/>
    </sheetView>
  </sheetViews>
  <sheetFormatPr defaultColWidth="8.6171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B2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D34" activeCellId="0" sqref="D34"/>
    </sheetView>
  </sheetViews>
  <sheetFormatPr defaultColWidth="8.6171875" defaultRowHeight="15" customHeight="true" zeroHeight="false" outlineLevelRow="0" outlineLevelCol="0"/>
  <cols>
    <col collapsed="false" customWidth="true" hidden="false" outlineLevel="0" max="2" min="2" style="0" width="11.14"/>
    <col collapsed="false" customWidth="true" hidden="false" outlineLevel="0" max="3" min="3" style="0" width="10.43"/>
    <col collapsed="false" customWidth="true" hidden="false" outlineLevel="0" max="4" min="4" style="0" width="15"/>
    <col collapsed="false" customWidth="true" hidden="false" outlineLevel="0" max="5" min="5" style="0" width="13.57"/>
    <col collapsed="false" customWidth="true" hidden="false" outlineLevel="0" max="8" min="8" style="0" width="18.57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</row>
    <row r="3" customFormat="false" ht="15" hidden="true" customHeight="false" outlineLevel="0" collapsed="false">
      <c r="B3" s="0" t="s">
        <v>4</v>
      </c>
      <c r="C3" s="0" t="s">
        <v>5</v>
      </c>
      <c r="D3" s="0" t="s">
        <v>6</v>
      </c>
      <c r="E3" s="2" t="n">
        <v>45962</v>
      </c>
      <c r="L3" s="2"/>
    </row>
    <row r="4" customFormat="false" ht="15" hidden="false" customHeight="false" outlineLevel="0" collapsed="false">
      <c r="B4" s="0" t="s">
        <v>7</v>
      </c>
      <c r="C4" s="0" t="s">
        <v>8</v>
      </c>
      <c r="D4" s="0" t="s">
        <v>9</v>
      </c>
      <c r="E4" s="2" t="n">
        <v>45901</v>
      </c>
    </row>
    <row r="5" customFormat="false" ht="15" hidden="true" customHeight="false" outlineLevel="0" collapsed="false">
      <c r="B5" s="0" t="s">
        <v>10</v>
      </c>
      <c r="C5" s="0" t="s">
        <v>11</v>
      </c>
      <c r="D5" s="0" t="s">
        <v>6</v>
      </c>
      <c r="E5" s="2" t="n">
        <v>45809</v>
      </c>
    </row>
    <row r="6" customFormat="false" ht="15" hidden="true" customHeight="false" outlineLevel="0" collapsed="false">
      <c r="B6" s="0" t="s">
        <v>12</v>
      </c>
      <c r="C6" s="0" t="s">
        <v>13</v>
      </c>
      <c r="D6" s="0" t="s">
        <v>14</v>
      </c>
      <c r="E6" s="2" t="n">
        <v>45809</v>
      </c>
    </row>
    <row r="7" customFormat="false" ht="15" hidden="true" customHeight="false" outlineLevel="0" collapsed="false">
      <c r="B7" s="0" t="s">
        <v>15</v>
      </c>
      <c r="C7" s="0" t="s">
        <v>16</v>
      </c>
      <c r="D7" s="0" t="s">
        <v>14</v>
      </c>
      <c r="E7" s="2" t="n">
        <v>45809</v>
      </c>
    </row>
    <row r="8" customFormat="false" ht="15" hidden="false" customHeight="false" outlineLevel="0" collapsed="false">
      <c r="B8" s="0" t="s">
        <v>17</v>
      </c>
      <c r="C8" s="0" t="s">
        <v>18</v>
      </c>
      <c r="D8" s="0" t="s">
        <v>9</v>
      </c>
      <c r="E8" s="2" t="n">
        <v>45809</v>
      </c>
    </row>
    <row r="9" customFormat="false" ht="15" hidden="true" customHeight="false" outlineLevel="0" collapsed="false">
      <c r="B9" s="0" t="s">
        <v>19</v>
      </c>
      <c r="C9" s="0" t="s">
        <v>20</v>
      </c>
      <c r="D9" s="0" t="s">
        <v>6</v>
      </c>
      <c r="E9" s="2" t="n">
        <v>45778</v>
      </c>
    </row>
    <row r="10" customFormat="false" ht="15" hidden="false" customHeight="false" outlineLevel="0" collapsed="false">
      <c r="B10" s="0" t="s">
        <v>21</v>
      </c>
      <c r="C10" s="0" t="s">
        <v>22</v>
      </c>
      <c r="D10" s="0" t="s">
        <v>9</v>
      </c>
      <c r="E10" s="2" t="n">
        <v>45748</v>
      </c>
    </row>
    <row r="11" customFormat="false" ht="15" hidden="true" customHeight="false" outlineLevel="0" collapsed="false">
      <c r="B11" s="0" t="s">
        <v>23</v>
      </c>
      <c r="C11" s="0" t="s">
        <v>24</v>
      </c>
      <c r="D11" s="0" t="s">
        <v>6</v>
      </c>
      <c r="E11" s="2" t="n">
        <v>45748</v>
      </c>
    </row>
    <row r="12" customFormat="false" ht="15" hidden="false" customHeight="false" outlineLevel="0" collapsed="false">
      <c r="B12" s="0" t="s">
        <v>25</v>
      </c>
      <c r="C12" s="0" t="s">
        <v>26</v>
      </c>
      <c r="D12" s="0" t="s">
        <v>9</v>
      </c>
      <c r="E12" s="2" t="n">
        <v>45748</v>
      </c>
    </row>
    <row r="13" customFormat="false" ht="15" hidden="true" customHeight="false" outlineLevel="0" collapsed="false">
      <c r="B13" s="0" t="s">
        <v>27</v>
      </c>
      <c r="C13" s="0" t="s">
        <v>28</v>
      </c>
      <c r="D13" s="0" t="s">
        <v>6</v>
      </c>
      <c r="E13" s="2" t="n">
        <v>45717</v>
      </c>
    </row>
    <row r="14" customFormat="false" ht="15" hidden="true" customHeight="false" outlineLevel="0" collapsed="false">
      <c r="B14" s="0" t="s">
        <v>29</v>
      </c>
      <c r="C14" s="0" t="s">
        <v>30</v>
      </c>
      <c r="D14" s="0" t="s">
        <v>6</v>
      </c>
      <c r="E14" s="2" t="n">
        <v>45717</v>
      </c>
      <c r="L14" s="2"/>
    </row>
    <row r="15" customFormat="false" ht="15" hidden="true" customHeight="false" outlineLevel="0" collapsed="false">
      <c r="B15" s="0" t="s">
        <v>31</v>
      </c>
      <c r="C15" s="0" t="s">
        <v>32</v>
      </c>
      <c r="D15" s="0" t="s">
        <v>14</v>
      </c>
      <c r="E15" s="2" t="n">
        <v>45566</v>
      </c>
      <c r="L15" s="2"/>
    </row>
    <row r="16" customFormat="false" ht="15" hidden="true" customHeight="false" outlineLevel="0" collapsed="false">
      <c r="B16" s="0" t="s">
        <v>33</v>
      </c>
      <c r="C16" s="0" t="s">
        <v>34</v>
      </c>
      <c r="D16" s="0" t="s">
        <v>6</v>
      </c>
      <c r="E16" s="2" t="n">
        <v>45566</v>
      </c>
      <c r="L16" s="2"/>
    </row>
    <row r="17" customFormat="false" ht="15" hidden="true" customHeight="false" outlineLevel="0" collapsed="false">
      <c r="B17" s="0" t="s">
        <v>35</v>
      </c>
      <c r="C17" s="0" t="s">
        <v>36</v>
      </c>
      <c r="D17" s="0" t="s">
        <v>14</v>
      </c>
      <c r="E17" s="2" t="n">
        <v>45566</v>
      </c>
    </row>
    <row r="18" customFormat="false" ht="15" hidden="true" customHeight="false" outlineLevel="0" collapsed="false">
      <c r="B18" s="0" t="s">
        <v>37</v>
      </c>
      <c r="C18" s="0" t="s">
        <v>38</v>
      </c>
      <c r="D18" s="0" t="s">
        <v>14</v>
      </c>
      <c r="E18" s="2" t="n">
        <v>45536</v>
      </c>
    </row>
    <row r="19" customFormat="false" ht="15" hidden="true" customHeight="false" outlineLevel="0" collapsed="false">
      <c r="B19" s="0" t="s">
        <v>39</v>
      </c>
      <c r="C19" s="0" t="s">
        <v>40</v>
      </c>
      <c r="D19" s="0" t="s">
        <v>14</v>
      </c>
      <c r="E19" s="2" t="n">
        <v>45505</v>
      </c>
    </row>
    <row r="20" customFormat="false" ht="15" hidden="true" customHeight="false" outlineLevel="0" collapsed="false">
      <c r="B20" s="0" t="s">
        <v>41</v>
      </c>
      <c r="C20" s="0" t="s">
        <v>42</v>
      </c>
      <c r="D20" s="0" t="s">
        <v>14</v>
      </c>
      <c r="E20" s="2" t="n">
        <v>45505</v>
      </c>
    </row>
    <row r="21" customFormat="false" ht="15" hidden="false" customHeight="false" outlineLevel="0" collapsed="false">
      <c r="B21" s="0" t="s">
        <v>43</v>
      </c>
      <c r="C21" s="0" t="s">
        <v>44</v>
      </c>
      <c r="D21" s="0" t="s">
        <v>9</v>
      </c>
      <c r="E21" s="2" t="n">
        <v>45505</v>
      </c>
    </row>
    <row r="22" customFormat="false" ht="15" hidden="true" customHeight="false" outlineLevel="0" collapsed="false">
      <c r="B22" s="0" t="s">
        <v>45</v>
      </c>
      <c r="C22" s="0" t="s">
        <v>46</v>
      </c>
      <c r="D22" s="0" t="s">
        <v>6</v>
      </c>
      <c r="E22" s="2" t="n">
        <v>45383</v>
      </c>
    </row>
    <row r="23" customFormat="false" ht="15" hidden="true" customHeight="false" outlineLevel="0" collapsed="false">
      <c r="B23" s="0" t="s">
        <v>47</v>
      </c>
      <c r="C23" s="0" t="s">
        <v>48</v>
      </c>
      <c r="D23" s="0" t="s">
        <v>14</v>
      </c>
      <c r="E23" s="2" t="n">
        <v>45383</v>
      </c>
    </row>
    <row r="24" customFormat="false" ht="15" hidden="true" customHeight="false" outlineLevel="0" collapsed="false">
      <c r="B24" s="0" t="s">
        <v>49</v>
      </c>
      <c r="C24" s="0" t="s">
        <v>50</v>
      </c>
      <c r="D24" s="0" t="s">
        <v>14</v>
      </c>
      <c r="E24" s="2" t="n">
        <v>45383</v>
      </c>
    </row>
    <row r="25" customFormat="false" ht="15" hidden="false" customHeight="false" outlineLevel="0" collapsed="false">
      <c r="B25" s="0" t="s">
        <v>51</v>
      </c>
      <c r="C25" s="0" t="s">
        <v>52</v>
      </c>
      <c r="D25" s="0" t="s">
        <v>9</v>
      </c>
      <c r="E25" s="2" t="n">
        <v>45383</v>
      </c>
    </row>
    <row r="26" customFormat="false" ht="15" hidden="false" customHeight="false" outlineLevel="0" collapsed="false">
      <c r="B26" s="0" t="s">
        <v>53</v>
      </c>
      <c r="C26" s="0" t="s">
        <v>54</v>
      </c>
      <c r="D26" s="0" t="s">
        <v>9</v>
      </c>
      <c r="E26" s="2" t="n">
        <v>45383</v>
      </c>
    </row>
    <row r="27" customFormat="false" ht="15" hidden="true" customHeight="false" outlineLevel="0" collapsed="false">
      <c r="B27" s="0" t="s">
        <v>55</v>
      </c>
      <c r="C27" s="0" t="s">
        <v>56</v>
      </c>
      <c r="D27" s="0" t="s">
        <v>14</v>
      </c>
      <c r="E27" s="2" t="n">
        <v>44986</v>
      </c>
    </row>
    <row r="28" customFormat="false" ht="15" hidden="true" customHeight="false" outlineLevel="0" collapsed="false">
      <c r="B28" s="0" t="s">
        <v>57</v>
      </c>
      <c r="C28" s="0" t="s">
        <v>58</v>
      </c>
      <c r="D28" s="0" t="s">
        <v>6</v>
      </c>
      <c r="E28" s="2" t="n">
        <v>44986</v>
      </c>
    </row>
    <row r="29" customFormat="false" ht="15" hidden="true" customHeight="false" outlineLevel="0" collapsed="false">
      <c r="B29" s="0" t="s">
        <v>59</v>
      </c>
      <c r="C29" s="0" t="s">
        <v>60</v>
      </c>
      <c r="D29" s="0" t="s">
        <v>6</v>
      </c>
      <c r="E29" s="2" t="n">
        <v>44958</v>
      </c>
    </row>
    <row r="30" customFormat="false" ht="15" hidden="true" customHeight="false" outlineLevel="0" collapsed="false">
      <c r="B30" s="0" t="s">
        <v>61</v>
      </c>
      <c r="C30" s="0" t="s">
        <v>62</v>
      </c>
      <c r="D30" s="0" t="s">
        <v>14</v>
      </c>
      <c r="E30" s="2" t="n">
        <v>44958</v>
      </c>
    </row>
    <row r="31" customFormat="false" ht="15" hidden="false" customHeight="false" outlineLevel="0" collapsed="false">
      <c r="B31" s="0" t="s">
        <v>63</v>
      </c>
      <c r="C31" s="0" t="s">
        <v>64</v>
      </c>
      <c r="D31" s="0" t="s">
        <v>9</v>
      </c>
      <c r="E31" s="2" t="n">
        <v>44958</v>
      </c>
    </row>
    <row r="32" customFormat="false" ht="15" hidden="false" customHeight="false" outlineLevel="0" collapsed="false">
      <c r="B32" s="0" t="s">
        <v>65</v>
      </c>
      <c r="C32" s="0" t="s">
        <v>66</v>
      </c>
      <c r="D32" s="0" t="s">
        <v>9</v>
      </c>
      <c r="E32" s="2" t="n">
        <v>44958</v>
      </c>
    </row>
    <row r="33" customFormat="false" ht="15" hidden="true" customHeight="false" outlineLevel="0" collapsed="false">
      <c r="B33" s="0" t="s">
        <v>67</v>
      </c>
      <c r="C33" s="0" t="s">
        <v>68</v>
      </c>
      <c r="D33" s="0" t="s">
        <v>6</v>
      </c>
      <c r="E33" s="2" t="n">
        <v>44958</v>
      </c>
    </row>
    <row r="34" customFormat="false" ht="15" hidden="false" customHeight="false" outlineLevel="0" collapsed="false">
      <c r="B34" s="0" t="s">
        <v>69</v>
      </c>
      <c r="C34" s="0" t="s">
        <v>70</v>
      </c>
      <c r="D34" s="0" t="s">
        <v>9</v>
      </c>
      <c r="E34" s="2" t="n">
        <v>44958</v>
      </c>
    </row>
  </sheetData>
  <autoFilter ref="B2:E34">
    <filterColumn colId="3">
      <filters>
        <dateGroupItem year="2023" month="02" day="01" dateTimeGrouping="day"/>
        <dateGroupItem year="2023" month="03" day="01" dateTimeGrouping="day"/>
        <dateGroupItem year="2024" month="04" day="01" dateTimeGrouping="day"/>
        <dateGroupItem year="2024" month="08" day="01" dateTimeGrouping="day"/>
        <dateGroupItem year="2024" month="09" day="01" dateTimeGrouping="day"/>
        <dateGroupItem year="2024" month="10" day="01" dateTimeGrouping="day"/>
        <dateGroupItem year="2025" month="03" day="01" dateTimeGrouping="day"/>
        <dateGroupItem year="2025" month="04" day="01" dateTimeGrouping="day"/>
        <dateGroupItem year="2025" month="05" day="01" dateTimeGrouping="day"/>
        <dateGroupItem year="2025" month="06" day="01" dateTimeGrouping="day"/>
        <dateGroupItem year="2025" month="09" day="01" dateTimeGrouping="day"/>
      </filters>
    </filterColumn>
    <filterColumn colId="2">
      <filters>
        <filter val="Praha"/>
      </filters>
    </filterColumn>
  </autoFilter>
  <conditionalFormatting sqref="B1:C1048576">
    <cfRule type="duplicateValues" priority="2" aboveAverage="0" equalAverage="0" bottom="0" percent="0" rank="0" text="" dxfId="2"/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171875" defaultRowHeight="15" customHeight="true" zeroHeight="false" outlineLevelRow="0" outlineLevelCol="0"/>
  <cols>
    <col collapsed="false" customWidth="true" hidden="false" outlineLevel="0" max="2" min="2" style="0" width="10.14"/>
    <col collapsed="false" customWidth="true" hidden="false" outlineLevel="0" max="3" min="3" style="3" width="13.57"/>
    <col collapsed="false" customWidth="true" hidden="false" outlineLevel="0" max="4" min="4" style="0" width="13.57"/>
    <col collapsed="false" customWidth="true" hidden="false" outlineLevel="0" max="5" min="5" style="0" width="16.58"/>
    <col collapsed="false" customWidth="true" hidden="false" outlineLevel="0" max="6" min="6" style="0" width="23.29"/>
    <col collapsed="false" customWidth="true" hidden="false" outlineLevel="0" max="7" min="7" style="0" width="16.58"/>
    <col collapsed="false" customWidth="true" hidden="false" outlineLevel="0" max="8" min="8" style="0" width="11.14"/>
    <col collapsed="false" customWidth="true" hidden="false" outlineLevel="0" max="9" min="9" style="0" width="14.42"/>
    <col collapsed="false" customWidth="true" hidden="false" outlineLevel="0" max="10" min="10" style="4" width="23.43"/>
  </cols>
  <sheetData>
    <row r="1" customFormat="false" ht="15" hidden="false" customHeight="false" outlineLevel="0" collapsed="false">
      <c r="G1" s="1"/>
    </row>
    <row r="2" customFormat="false" ht="15" hidden="false" customHeight="false" outlineLevel="0" collapsed="false">
      <c r="B2" s="5" t="s">
        <v>71</v>
      </c>
      <c r="C2" s="6" t="s">
        <v>72</v>
      </c>
      <c r="D2" s="5" t="s">
        <v>73</v>
      </c>
      <c r="E2" s="5" t="s">
        <v>74</v>
      </c>
      <c r="F2" s="5" t="s">
        <v>75</v>
      </c>
      <c r="G2" s="5" t="s">
        <v>76</v>
      </c>
      <c r="H2" s="5" t="s">
        <v>0</v>
      </c>
      <c r="I2" s="5" t="s">
        <v>77</v>
      </c>
      <c r="J2" s="7" t="s">
        <v>78</v>
      </c>
    </row>
    <row r="3" customFormat="false" ht="15" hidden="false" customHeight="false" outlineLevel="0" collapsed="false">
      <c r="B3" s="2" t="n">
        <v>45925</v>
      </c>
      <c r="C3" s="3" t="n">
        <f aca="false">MONTH(B3)</f>
        <v>9</v>
      </c>
      <c r="D3" s="0" t="n">
        <v>20220003926</v>
      </c>
      <c r="E3" s="0" t="s">
        <v>79</v>
      </c>
      <c r="F3" s="0" t="s">
        <v>80</v>
      </c>
      <c r="G3" s="0" t="s">
        <v>81</v>
      </c>
      <c r="H3" s="0" t="s">
        <v>21</v>
      </c>
      <c r="I3" s="0" t="str">
        <f aca="false">VLOOKUP(H3,'rozdělení obchodníků'!B:D,3, )</f>
        <v>Praha</v>
      </c>
      <c r="J3" s="4" t="n">
        <v>100000</v>
      </c>
    </row>
    <row r="4" customFormat="false" ht="15" hidden="false" customHeight="false" outlineLevel="0" collapsed="false">
      <c r="B4" s="2" t="n">
        <v>45925</v>
      </c>
      <c r="C4" s="3" t="n">
        <f aca="false">MONTH(B4)</f>
        <v>9</v>
      </c>
      <c r="D4" s="0" t="n">
        <v>20220003929</v>
      </c>
      <c r="E4" s="0" t="s">
        <v>79</v>
      </c>
      <c r="F4" s="0" t="s">
        <v>80</v>
      </c>
      <c r="G4" s="0" t="s">
        <v>81</v>
      </c>
      <c r="H4" s="0" t="s">
        <v>51</v>
      </c>
      <c r="I4" s="0" t="str">
        <f aca="false">VLOOKUP(H4,'rozdělení obchodníků'!B:D,3, )</f>
        <v>Praha</v>
      </c>
      <c r="J4" s="4" t="n">
        <v>100000</v>
      </c>
    </row>
    <row r="5" customFormat="false" ht="15" hidden="false" customHeight="false" outlineLevel="0" collapsed="false">
      <c r="B5" s="2" t="n">
        <v>45925</v>
      </c>
      <c r="C5" s="3" t="n">
        <f aca="false">MONTH(B5)</f>
        <v>9</v>
      </c>
      <c r="D5" s="0" t="n">
        <v>20220003932</v>
      </c>
      <c r="E5" s="0" t="s">
        <v>79</v>
      </c>
      <c r="F5" s="0" t="s">
        <v>80</v>
      </c>
      <c r="G5" s="0" t="s">
        <v>81</v>
      </c>
      <c r="H5" s="0" t="s">
        <v>51</v>
      </c>
      <c r="I5" s="0" t="str">
        <f aca="false">VLOOKUP(H5,'rozdělení obchodníků'!B:D,3, )</f>
        <v>Praha</v>
      </c>
      <c r="J5" s="4" t="n">
        <v>1500000</v>
      </c>
    </row>
    <row r="6" customFormat="false" ht="15" hidden="false" customHeight="false" outlineLevel="0" collapsed="false">
      <c r="B6" s="2" t="n">
        <v>45925</v>
      </c>
      <c r="C6" s="3" t="n">
        <f aca="false">MONTH(B6)</f>
        <v>9</v>
      </c>
      <c r="D6" s="0" t="n">
        <v>20220003935</v>
      </c>
      <c r="E6" s="0" t="s">
        <v>79</v>
      </c>
      <c r="F6" s="0" t="s">
        <v>80</v>
      </c>
      <c r="G6" s="0" t="s">
        <v>81</v>
      </c>
      <c r="H6" s="0" t="s">
        <v>51</v>
      </c>
      <c r="I6" s="0" t="str">
        <f aca="false">VLOOKUP(H6,'rozdělení obchodníků'!B:D,3, )</f>
        <v>Praha</v>
      </c>
      <c r="J6" s="4" t="n">
        <v>1500000</v>
      </c>
    </row>
    <row r="7" customFormat="false" ht="15" hidden="false" customHeight="false" outlineLevel="0" collapsed="false">
      <c r="B7" s="2" t="n">
        <v>45928</v>
      </c>
      <c r="C7" s="3" t="n">
        <f aca="false">MONTH(B7)</f>
        <v>9</v>
      </c>
      <c r="D7" s="0" t="n">
        <v>20220003938</v>
      </c>
      <c r="E7" s="0" t="s">
        <v>79</v>
      </c>
      <c r="F7" s="0" t="s">
        <v>80</v>
      </c>
      <c r="G7" s="0" t="s">
        <v>81</v>
      </c>
      <c r="H7" s="0" t="s">
        <v>51</v>
      </c>
      <c r="I7" s="0" t="str">
        <f aca="false">VLOOKUP(H7,'rozdělení obchodníků'!B:D,3, )</f>
        <v>Praha</v>
      </c>
      <c r="J7" s="4" t="n">
        <v>500000</v>
      </c>
    </row>
    <row r="8" customFormat="false" ht="15" hidden="false" customHeight="false" outlineLevel="0" collapsed="false">
      <c r="B8" s="2" t="n">
        <v>45928</v>
      </c>
      <c r="C8" s="3" t="n">
        <f aca="false">MONTH(B8)</f>
        <v>9</v>
      </c>
      <c r="D8" s="0" t="n">
        <v>20220003941</v>
      </c>
      <c r="E8" s="0" t="s">
        <v>79</v>
      </c>
      <c r="F8" s="0" t="s">
        <v>80</v>
      </c>
      <c r="G8" s="0" t="s">
        <v>81</v>
      </c>
      <c r="H8" s="0" t="s">
        <v>63</v>
      </c>
      <c r="I8" s="0" t="str">
        <f aca="false">VLOOKUP(H8,'rozdělení obchodníků'!B:D,3, )</f>
        <v>Praha</v>
      </c>
      <c r="J8" s="4" t="n">
        <v>500000</v>
      </c>
    </row>
    <row r="9" customFormat="false" ht="15" hidden="false" customHeight="false" outlineLevel="0" collapsed="false">
      <c r="B9" s="2" t="n">
        <v>45928</v>
      </c>
      <c r="C9" s="3" t="n">
        <f aca="false">MONTH(B9)</f>
        <v>9</v>
      </c>
      <c r="D9" s="0" t="n">
        <v>20220003944</v>
      </c>
      <c r="E9" s="0" t="s">
        <v>79</v>
      </c>
      <c r="F9" s="0" t="s">
        <v>80</v>
      </c>
      <c r="G9" s="0" t="s">
        <v>81</v>
      </c>
      <c r="H9" s="0" t="s">
        <v>63</v>
      </c>
      <c r="I9" s="0" t="str">
        <f aca="false">VLOOKUP(H9,'rozdělení obchodníků'!B:D,3, )</f>
        <v>Praha</v>
      </c>
      <c r="J9" s="4" t="n">
        <v>1000000</v>
      </c>
    </row>
    <row r="10" customFormat="false" ht="15" hidden="false" customHeight="false" outlineLevel="0" collapsed="false">
      <c r="B10" s="2" t="n">
        <v>45928</v>
      </c>
      <c r="C10" s="3" t="n">
        <f aca="false">MONTH(B10)</f>
        <v>9</v>
      </c>
      <c r="D10" s="0" t="n">
        <v>20220003947</v>
      </c>
      <c r="E10" s="0" t="s">
        <v>79</v>
      </c>
      <c r="F10" s="0" t="s">
        <v>82</v>
      </c>
      <c r="G10" s="0" t="s">
        <v>81</v>
      </c>
      <c r="H10" s="0" t="s">
        <v>65</v>
      </c>
      <c r="I10" s="0" t="str">
        <f aca="false">VLOOKUP(H10,'rozdělení obchodníků'!B:D,3, )</f>
        <v>Praha</v>
      </c>
      <c r="J10" s="4" t="n">
        <v>100000</v>
      </c>
    </row>
    <row r="11" customFormat="false" ht="15" hidden="false" customHeight="false" outlineLevel="0" collapsed="false">
      <c r="B11" s="2" t="n">
        <v>45929</v>
      </c>
      <c r="C11" s="3" t="n">
        <f aca="false">MONTH(B11)</f>
        <v>9</v>
      </c>
      <c r="D11" s="0" t="n">
        <v>20220003950</v>
      </c>
      <c r="E11" s="0" t="s">
        <v>79</v>
      </c>
      <c r="F11" s="0" t="s">
        <v>82</v>
      </c>
      <c r="G11" s="0" t="s">
        <v>81</v>
      </c>
      <c r="H11" s="0" t="s">
        <v>67</v>
      </c>
      <c r="I11" s="0" t="str">
        <f aca="false">VLOOKUP(H11,'rozdělení obchodníků'!B:D,3, )</f>
        <v>Čechy</v>
      </c>
      <c r="J11" s="4" t="n">
        <v>1000000</v>
      </c>
    </row>
    <row r="12" customFormat="false" ht="15" hidden="false" customHeight="false" outlineLevel="0" collapsed="false">
      <c r="B12" s="2" t="n">
        <v>45930</v>
      </c>
      <c r="C12" s="3" t="n">
        <f aca="false">MONTH(B12)</f>
        <v>9</v>
      </c>
      <c r="D12" s="0" t="n">
        <v>20220012561</v>
      </c>
      <c r="E12" s="0" t="s">
        <v>79</v>
      </c>
      <c r="F12" s="0" t="s">
        <v>80</v>
      </c>
      <c r="G12" s="0" t="s">
        <v>81</v>
      </c>
      <c r="H12" s="0" t="s">
        <v>27</v>
      </c>
      <c r="I12" s="0" t="str">
        <f aca="false">VLOOKUP(H12,'rozdělení obchodníků'!B:D,3, )</f>
        <v>Čechy</v>
      </c>
      <c r="J12" s="4" t="n">
        <v>250000</v>
      </c>
    </row>
    <row r="13" customFormat="false" ht="15" hidden="false" customHeight="false" outlineLevel="0" collapsed="false">
      <c r="B13" s="2" t="n">
        <v>45930</v>
      </c>
      <c r="C13" s="3" t="n">
        <f aca="false">MONTH(B13)</f>
        <v>9</v>
      </c>
      <c r="D13" s="0" t="n">
        <v>20220012563</v>
      </c>
      <c r="E13" s="0" t="s">
        <v>79</v>
      </c>
      <c r="F13" s="0" t="s">
        <v>83</v>
      </c>
      <c r="G13" s="0" t="s">
        <v>81</v>
      </c>
      <c r="H13" s="0" t="s">
        <v>27</v>
      </c>
      <c r="I13" s="0" t="str">
        <f aca="false">VLOOKUP(H13,'rozdělení obchodníků'!B:D,3, )</f>
        <v>Čechy</v>
      </c>
      <c r="J13" s="4" t="n">
        <v>1500000</v>
      </c>
    </row>
    <row r="14" customFormat="false" ht="15" hidden="false" customHeight="false" outlineLevel="0" collapsed="false">
      <c r="B14" s="2" t="n">
        <v>45930</v>
      </c>
      <c r="C14" s="3" t="n">
        <f aca="false">MONTH(B14)</f>
        <v>9</v>
      </c>
      <c r="D14" s="0" t="n">
        <v>20220012565</v>
      </c>
      <c r="E14" s="0" t="s">
        <v>79</v>
      </c>
      <c r="F14" s="0" t="s">
        <v>82</v>
      </c>
      <c r="G14" s="0" t="s">
        <v>81</v>
      </c>
      <c r="H14" s="0" t="s">
        <v>27</v>
      </c>
      <c r="I14" s="0" t="str">
        <f aca="false">VLOOKUP(H14,'rozdělení obchodníků'!B:D,3, )</f>
        <v>Čechy</v>
      </c>
      <c r="J14" s="4" t="n">
        <v>450000</v>
      </c>
    </row>
    <row r="15" customFormat="false" ht="15" hidden="false" customHeight="false" outlineLevel="0" collapsed="false">
      <c r="B15" s="2" t="n">
        <v>45930</v>
      </c>
      <c r="C15" s="3" t="n">
        <f aca="false">MONTH(B15)</f>
        <v>9</v>
      </c>
      <c r="D15" s="0" t="n">
        <v>20220012566</v>
      </c>
      <c r="E15" s="0" t="s">
        <v>79</v>
      </c>
      <c r="F15" s="0" t="s">
        <v>82</v>
      </c>
      <c r="G15" s="0" t="s">
        <v>81</v>
      </c>
      <c r="H15" s="0" t="s">
        <v>31</v>
      </c>
      <c r="I15" s="0" t="str">
        <f aca="false">VLOOKUP(H15,'rozdělení obchodníků'!B:D,3, )</f>
        <v>Morava</v>
      </c>
      <c r="J15" s="4" t="n">
        <v>1000000</v>
      </c>
    </row>
    <row r="16" customFormat="false" ht="15" hidden="false" customHeight="false" outlineLevel="0" collapsed="false">
      <c r="B16" s="2" t="n">
        <v>45931</v>
      </c>
      <c r="C16" s="3" t="n">
        <f aca="false">MONTH(B16)</f>
        <v>10</v>
      </c>
      <c r="D16" s="0" t="n">
        <v>20220012572</v>
      </c>
      <c r="E16" s="0" t="s">
        <v>79</v>
      </c>
      <c r="F16" s="0" t="s">
        <v>82</v>
      </c>
      <c r="G16" s="0" t="s">
        <v>81</v>
      </c>
      <c r="H16" s="0" t="s">
        <v>67</v>
      </c>
      <c r="I16" s="0" t="str">
        <f aca="false">VLOOKUP(H16,'rozdělení obchodníků'!B:D,3, )</f>
        <v>Čechy</v>
      </c>
      <c r="J16" s="4" t="n">
        <v>1450000</v>
      </c>
    </row>
    <row r="17" customFormat="false" ht="15" hidden="false" customHeight="false" outlineLevel="0" collapsed="false">
      <c r="B17" s="2" t="n">
        <v>45931</v>
      </c>
      <c r="C17" s="3" t="n">
        <f aca="false">MONTH(B17)</f>
        <v>10</v>
      </c>
      <c r="D17" s="0" t="n">
        <v>20220012573</v>
      </c>
      <c r="E17" s="0" t="s">
        <v>79</v>
      </c>
      <c r="F17" s="0" t="s">
        <v>82</v>
      </c>
      <c r="G17" s="0" t="s">
        <v>81</v>
      </c>
      <c r="H17" s="0" t="s">
        <v>67</v>
      </c>
      <c r="I17" s="0" t="str">
        <f aca="false">VLOOKUP(H17,'rozdělení obchodníků'!B:D,3, )</f>
        <v>Čechy</v>
      </c>
      <c r="J17" s="4" t="n">
        <v>300000</v>
      </c>
    </row>
    <row r="18" customFormat="false" ht="15" hidden="false" customHeight="false" outlineLevel="0" collapsed="false">
      <c r="B18" s="2" t="n">
        <v>45932</v>
      </c>
      <c r="C18" s="3" t="n">
        <f aca="false">MONTH(B18)</f>
        <v>10</v>
      </c>
      <c r="D18" s="0" t="n">
        <v>20220012576</v>
      </c>
      <c r="E18" s="0" t="s">
        <v>79</v>
      </c>
      <c r="F18" s="0" t="s">
        <v>82</v>
      </c>
      <c r="G18" s="0" t="s">
        <v>81</v>
      </c>
      <c r="H18" s="0" t="s">
        <v>31</v>
      </c>
      <c r="I18" s="0" t="str">
        <f aca="false">VLOOKUP(H18,'rozdělení obchodníků'!B:D,3, )</f>
        <v>Morava</v>
      </c>
      <c r="J18" s="4" t="n">
        <v>1200000</v>
      </c>
    </row>
    <row r="19" customFormat="false" ht="15" hidden="false" customHeight="false" outlineLevel="0" collapsed="false">
      <c r="B19" s="2" t="n">
        <v>45932</v>
      </c>
      <c r="C19" s="3" t="n">
        <f aca="false">MONTH(B19)</f>
        <v>10</v>
      </c>
      <c r="D19" s="0" t="n">
        <v>20220012579</v>
      </c>
      <c r="E19" s="0" t="s">
        <v>79</v>
      </c>
      <c r="F19" s="0" t="s">
        <v>80</v>
      </c>
      <c r="G19" s="0" t="s">
        <v>81</v>
      </c>
      <c r="H19" s="0" t="s">
        <v>10</v>
      </c>
      <c r="I19" s="0" t="str">
        <f aca="false">VLOOKUP(H19,'rozdělení obchodníků'!B:D,3, )</f>
        <v>Čechy</v>
      </c>
      <c r="J19" s="4" t="n">
        <v>300000</v>
      </c>
    </row>
    <row r="20" customFormat="false" ht="15" hidden="false" customHeight="false" outlineLevel="0" collapsed="false">
      <c r="B20" s="2" t="n">
        <v>45932</v>
      </c>
      <c r="C20" s="3" t="n">
        <f aca="false">MONTH(B20)</f>
        <v>10</v>
      </c>
      <c r="D20" s="0" t="n">
        <v>20220012582</v>
      </c>
      <c r="E20" s="0" t="s">
        <v>79</v>
      </c>
      <c r="F20" s="0" t="s">
        <v>80</v>
      </c>
      <c r="G20" s="0" t="s">
        <v>81</v>
      </c>
      <c r="H20" s="0" t="s">
        <v>51</v>
      </c>
      <c r="I20" s="0" t="str">
        <f aca="false">VLOOKUP(H20,'rozdělení obchodníků'!B:D,3, )</f>
        <v>Praha</v>
      </c>
      <c r="J20" s="4" t="n">
        <v>2000000</v>
      </c>
    </row>
    <row r="21" customFormat="false" ht="15" hidden="false" customHeight="false" outlineLevel="0" collapsed="false">
      <c r="B21" s="2" t="n">
        <v>45932</v>
      </c>
      <c r="C21" s="3" t="n">
        <f aca="false">MONTH(B21)</f>
        <v>10</v>
      </c>
      <c r="D21" s="0" t="n">
        <v>20220012585</v>
      </c>
      <c r="E21" s="0" t="s">
        <v>79</v>
      </c>
      <c r="F21" s="0" t="s">
        <v>82</v>
      </c>
      <c r="G21" s="0" t="s">
        <v>81</v>
      </c>
      <c r="H21" s="0" t="s">
        <v>47</v>
      </c>
      <c r="I21" s="0" t="str">
        <f aca="false">VLOOKUP(H21,'rozdělení obchodníků'!B:D,3, )</f>
        <v>Morava</v>
      </c>
      <c r="J21" s="4" t="n">
        <v>750000</v>
      </c>
    </row>
    <row r="22" customFormat="false" ht="15" hidden="false" customHeight="false" outlineLevel="0" collapsed="false">
      <c r="B22" s="2" t="n">
        <v>45932</v>
      </c>
      <c r="C22" s="3" t="n">
        <f aca="false">MONTH(B22)</f>
        <v>10</v>
      </c>
      <c r="D22" s="0" t="n">
        <v>20220012588</v>
      </c>
      <c r="E22" s="0" t="s">
        <v>79</v>
      </c>
      <c r="F22" s="0" t="s">
        <v>82</v>
      </c>
      <c r="G22" s="0" t="s">
        <v>81</v>
      </c>
      <c r="H22" s="0" t="s">
        <v>47</v>
      </c>
      <c r="I22" s="0" t="str">
        <f aca="false">VLOOKUP(H22,'rozdělení obchodníků'!B:D,3, )</f>
        <v>Morava</v>
      </c>
      <c r="J22" s="4" t="n">
        <v>300000</v>
      </c>
    </row>
    <row r="23" customFormat="false" ht="15" hidden="false" customHeight="false" outlineLevel="0" collapsed="false">
      <c r="B23" s="2" t="n">
        <v>45932</v>
      </c>
      <c r="C23" s="3" t="n">
        <f aca="false">MONTH(B23)</f>
        <v>10</v>
      </c>
      <c r="D23" s="0" t="n">
        <v>20220012591</v>
      </c>
      <c r="E23" s="0" t="s">
        <v>79</v>
      </c>
      <c r="F23" s="0" t="s">
        <v>82</v>
      </c>
      <c r="G23" s="0" t="s">
        <v>81</v>
      </c>
      <c r="H23" s="0" t="s">
        <v>59</v>
      </c>
      <c r="I23" s="0" t="str">
        <f aca="false">VLOOKUP(H23,'rozdělení obchodníků'!B:D,3, )</f>
        <v>Čechy</v>
      </c>
      <c r="J23" s="4" t="n">
        <v>1500000</v>
      </c>
    </row>
    <row r="24" customFormat="false" ht="15" hidden="false" customHeight="false" outlineLevel="0" collapsed="false">
      <c r="B24" s="2" t="n">
        <v>45932</v>
      </c>
      <c r="C24" s="3" t="n">
        <f aca="false">MONTH(B24)</f>
        <v>10</v>
      </c>
      <c r="D24" s="0" t="n">
        <v>20220012594</v>
      </c>
      <c r="E24" s="0" t="s">
        <v>79</v>
      </c>
      <c r="F24" s="0" t="s">
        <v>82</v>
      </c>
      <c r="G24" s="0" t="s">
        <v>81</v>
      </c>
      <c r="H24" s="0" t="s">
        <v>35</v>
      </c>
      <c r="I24" s="0" t="str">
        <f aca="false">VLOOKUP(H24,'rozdělení obchodníků'!B:D,3, )</f>
        <v>Morava</v>
      </c>
      <c r="J24" s="4" t="n">
        <v>600000</v>
      </c>
    </row>
    <row r="25" customFormat="false" ht="15" hidden="false" customHeight="false" outlineLevel="0" collapsed="false">
      <c r="B25" s="2" t="n">
        <v>45932</v>
      </c>
      <c r="C25" s="3" t="n">
        <f aca="false">MONTH(B25)</f>
        <v>10</v>
      </c>
      <c r="D25" s="0" t="n">
        <v>20220012597</v>
      </c>
      <c r="E25" s="0" t="s">
        <v>79</v>
      </c>
      <c r="F25" s="0" t="s">
        <v>82</v>
      </c>
      <c r="G25" s="0" t="s">
        <v>81</v>
      </c>
      <c r="H25" s="0" t="s">
        <v>35</v>
      </c>
      <c r="I25" s="0" t="str">
        <f aca="false">VLOOKUP(H25,'rozdělení obchodníků'!B:D,3, )</f>
        <v>Morava</v>
      </c>
      <c r="J25" s="4" t="n">
        <v>600000</v>
      </c>
    </row>
    <row r="26" customFormat="false" ht="15" hidden="false" customHeight="false" outlineLevel="0" collapsed="false">
      <c r="B26" s="2" t="n">
        <v>45932</v>
      </c>
      <c r="C26" s="3" t="n">
        <f aca="false">MONTH(B26)</f>
        <v>10</v>
      </c>
      <c r="D26" s="0" t="n">
        <v>20220012600</v>
      </c>
      <c r="E26" s="0" t="s">
        <v>79</v>
      </c>
      <c r="F26" s="0" t="s">
        <v>80</v>
      </c>
      <c r="G26" s="0" t="s">
        <v>81</v>
      </c>
      <c r="H26" s="0" t="s">
        <v>17</v>
      </c>
      <c r="I26" s="0" t="str">
        <f aca="false">VLOOKUP(H26,'rozdělení obchodníků'!B:D,3, )</f>
        <v>Praha</v>
      </c>
      <c r="J26" s="4" t="n">
        <v>1000000</v>
      </c>
    </row>
    <row r="27" customFormat="false" ht="15" hidden="false" customHeight="false" outlineLevel="0" collapsed="false">
      <c r="B27" s="2" t="n">
        <v>45932</v>
      </c>
      <c r="C27" s="3" t="n">
        <f aca="false">MONTH(B27)</f>
        <v>10</v>
      </c>
      <c r="D27" s="0" t="n">
        <v>20220012603</v>
      </c>
      <c r="E27" s="0" t="s">
        <v>79</v>
      </c>
      <c r="F27" s="0" t="s">
        <v>80</v>
      </c>
      <c r="G27" s="0" t="s">
        <v>81</v>
      </c>
      <c r="H27" s="0" t="s">
        <v>21</v>
      </c>
      <c r="I27" s="0" t="str">
        <f aca="false">VLOOKUP(H27,'rozdělení obchodníků'!B:D,3, )</f>
        <v>Praha</v>
      </c>
      <c r="J27" s="4" t="n">
        <v>1500000</v>
      </c>
    </row>
    <row r="28" customFormat="false" ht="15" hidden="false" customHeight="false" outlineLevel="0" collapsed="false">
      <c r="B28" s="2" t="n">
        <v>45932</v>
      </c>
      <c r="C28" s="3" t="n">
        <f aca="false">MONTH(B28)</f>
        <v>10</v>
      </c>
      <c r="D28" s="0" t="n">
        <v>20220012606</v>
      </c>
      <c r="E28" s="0" t="s">
        <v>79</v>
      </c>
      <c r="F28" s="0" t="s">
        <v>80</v>
      </c>
      <c r="G28" s="0" t="s">
        <v>81</v>
      </c>
      <c r="H28" s="0" t="s">
        <v>51</v>
      </c>
      <c r="I28" s="0" t="str">
        <f aca="false">VLOOKUP(H28,'rozdělení obchodníků'!B:D,3, )</f>
        <v>Praha</v>
      </c>
      <c r="J28" s="4" t="n">
        <v>100000</v>
      </c>
    </row>
    <row r="29" customFormat="false" ht="15" hidden="false" customHeight="false" outlineLevel="0" collapsed="false">
      <c r="B29" s="2" t="n">
        <v>45932</v>
      </c>
      <c r="C29" s="3" t="n">
        <f aca="false">MONTH(B29)</f>
        <v>10</v>
      </c>
      <c r="D29" s="0" t="n">
        <v>20220012609</v>
      </c>
      <c r="E29" s="0" t="s">
        <v>79</v>
      </c>
      <c r="F29" s="0" t="s">
        <v>80</v>
      </c>
      <c r="G29" s="0" t="s">
        <v>81</v>
      </c>
      <c r="H29" s="0" t="s">
        <v>10</v>
      </c>
      <c r="I29" s="0" t="str">
        <f aca="false">VLOOKUP(H29,'rozdělení obchodníků'!B:D,3, )</f>
        <v>Čechy</v>
      </c>
      <c r="J29" s="4" t="n">
        <v>100000</v>
      </c>
    </row>
    <row r="30" customFormat="false" ht="15" hidden="false" customHeight="false" outlineLevel="0" collapsed="false">
      <c r="B30" s="2" t="n">
        <v>45932</v>
      </c>
      <c r="C30" s="3" t="n">
        <f aca="false">MONTH(B30)</f>
        <v>10</v>
      </c>
      <c r="D30" s="0" t="n">
        <v>20220012612</v>
      </c>
      <c r="E30" s="0" t="s">
        <v>79</v>
      </c>
      <c r="F30" s="0" t="s">
        <v>80</v>
      </c>
      <c r="G30" s="0" t="s">
        <v>81</v>
      </c>
      <c r="H30" s="0" t="s">
        <v>10</v>
      </c>
      <c r="I30" s="0" t="str">
        <f aca="false">VLOOKUP(H30,'rozdělení obchodníků'!B:D,3, )</f>
        <v>Čechy</v>
      </c>
      <c r="J30" s="4" t="n">
        <v>1000000</v>
      </c>
    </row>
    <row r="31" customFormat="false" ht="15" hidden="false" customHeight="false" outlineLevel="0" collapsed="false">
      <c r="B31" s="2" t="n">
        <v>45932</v>
      </c>
      <c r="C31" s="3" t="n">
        <f aca="false">MONTH(B31)</f>
        <v>10</v>
      </c>
      <c r="D31" s="0" t="n">
        <v>20220012615</v>
      </c>
      <c r="E31" s="0" t="s">
        <v>79</v>
      </c>
      <c r="F31" s="0" t="s">
        <v>82</v>
      </c>
      <c r="G31" s="0" t="s">
        <v>81</v>
      </c>
      <c r="H31" s="0" t="s">
        <v>10</v>
      </c>
      <c r="I31" s="0" t="str">
        <f aca="false">VLOOKUP(H31,'rozdělení obchodníků'!B:D,3, )</f>
        <v>Čechy</v>
      </c>
      <c r="J31" s="4" t="n">
        <v>250000</v>
      </c>
    </row>
    <row r="32" customFormat="false" ht="15" hidden="false" customHeight="false" outlineLevel="0" collapsed="false">
      <c r="B32" s="2" t="n">
        <v>45932</v>
      </c>
      <c r="C32" s="3" t="n">
        <f aca="false">MONTH(B32)</f>
        <v>10</v>
      </c>
      <c r="D32" s="0" t="n">
        <v>20220012618</v>
      </c>
      <c r="E32" s="0" t="s">
        <v>79</v>
      </c>
      <c r="F32" s="0" t="s">
        <v>80</v>
      </c>
      <c r="G32" s="0" t="s">
        <v>81</v>
      </c>
      <c r="H32" s="0" t="s">
        <v>17</v>
      </c>
      <c r="I32" s="0" t="str">
        <f aca="false">VLOOKUP(H32,'rozdělení obchodníků'!B:D,3, )</f>
        <v>Praha</v>
      </c>
      <c r="J32" s="4" t="n">
        <v>300000</v>
      </c>
    </row>
    <row r="33" customFormat="false" ht="15" hidden="false" customHeight="false" outlineLevel="0" collapsed="false">
      <c r="B33" s="2" t="n">
        <v>45932</v>
      </c>
      <c r="C33" s="3" t="n">
        <f aca="false">MONTH(B33)</f>
        <v>10</v>
      </c>
      <c r="D33" s="0" t="n">
        <v>20220012621</v>
      </c>
      <c r="E33" s="0" t="s">
        <v>79</v>
      </c>
      <c r="F33" s="0" t="s">
        <v>80</v>
      </c>
      <c r="G33" s="0" t="s">
        <v>81</v>
      </c>
      <c r="H33" s="0" t="s">
        <v>21</v>
      </c>
      <c r="I33" s="0" t="str">
        <f aca="false">VLOOKUP(H33,'rozdělení obchodníků'!B:D,3, )</f>
        <v>Praha</v>
      </c>
      <c r="J33" s="4" t="n">
        <v>1000000</v>
      </c>
    </row>
    <row r="34" customFormat="false" ht="15" hidden="false" customHeight="false" outlineLevel="0" collapsed="false">
      <c r="B34" s="2" t="n">
        <v>45932</v>
      </c>
      <c r="C34" s="3" t="n">
        <f aca="false">MONTH(B34)</f>
        <v>10</v>
      </c>
      <c r="D34" s="0" t="n">
        <v>20220012624</v>
      </c>
      <c r="E34" s="0" t="s">
        <v>79</v>
      </c>
      <c r="F34" s="0" t="s">
        <v>80</v>
      </c>
      <c r="G34" s="0" t="s">
        <v>81</v>
      </c>
      <c r="H34" s="0" t="s">
        <v>21</v>
      </c>
      <c r="I34" s="0" t="str">
        <f aca="false">VLOOKUP(H34,'rozdělení obchodníků'!B:D,3, )</f>
        <v>Praha</v>
      </c>
      <c r="J34" s="4" t="n">
        <v>2000000</v>
      </c>
    </row>
    <row r="35" customFormat="false" ht="15" hidden="false" customHeight="false" outlineLevel="0" collapsed="false">
      <c r="B35" s="2" t="n">
        <v>45932</v>
      </c>
      <c r="C35" s="3" t="n">
        <f aca="false">MONTH(B35)</f>
        <v>10</v>
      </c>
      <c r="D35" s="0" t="n">
        <v>20220012627</v>
      </c>
      <c r="E35" s="0" t="s">
        <v>79</v>
      </c>
      <c r="F35" s="0" t="s">
        <v>80</v>
      </c>
      <c r="G35" s="0" t="s">
        <v>81</v>
      </c>
      <c r="H35" s="0" t="s">
        <v>47</v>
      </c>
      <c r="I35" s="0" t="str">
        <f aca="false">VLOOKUP(H35,'rozdělení obchodníků'!B:D,3, )</f>
        <v>Morava</v>
      </c>
      <c r="J35" s="4" t="n">
        <v>450000</v>
      </c>
    </row>
    <row r="36" customFormat="false" ht="15" hidden="false" customHeight="false" outlineLevel="0" collapsed="false">
      <c r="B36" s="2" t="n">
        <v>45932</v>
      </c>
      <c r="C36" s="3" t="n">
        <f aca="false">MONTH(B36)</f>
        <v>10</v>
      </c>
      <c r="D36" s="0" t="n">
        <v>20220012630</v>
      </c>
      <c r="E36" s="0" t="s">
        <v>79</v>
      </c>
      <c r="F36" s="0" t="s">
        <v>80</v>
      </c>
      <c r="G36" s="0" t="s">
        <v>81</v>
      </c>
      <c r="H36" s="0" t="s">
        <v>47</v>
      </c>
      <c r="I36" s="0" t="str">
        <f aca="false">VLOOKUP(H36,'rozdělení obchodníků'!B:D,3, )</f>
        <v>Morava</v>
      </c>
      <c r="J36" s="4" t="n">
        <v>450000</v>
      </c>
    </row>
    <row r="37" customFormat="false" ht="15" hidden="false" customHeight="false" outlineLevel="0" collapsed="false">
      <c r="B37" s="2" t="n">
        <v>45932</v>
      </c>
      <c r="C37" s="3" t="n">
        <f aca="false">MONTH(B37)</f>
        <v>10</v>
      </c>
      <c r="D37" s="0" t="n">
        <v>20220012633</v>
      </c>
      <c r="E37" s="0" t="s">
        <v>79</v>
      </c>
      <c r="F37" s="0" t="s">
        <v>80</v>
      </c>
      <c r="G37" s="0" t="s">
        <v>81</v>
      </c>
      <c r="H37" s="0" t="s">
        <v>47</v>
      </c>
      <c r="I37" s="0" t="str">
        <f aca="false">VLOOKUP(H37,'rozdělení obchodníků'!B:D,3, )</f>
        <v>Morava</v>
      </c>
      <c r="J37" s="4" t="n">
        <v>1450000</v>
      </c>
    </row>
    <row r="38" customFormat="false" ht="15" hidden="false" customHeight="false" outlineLevel="0" collapsed="false">
      <c r="B38" s="2" t="n">
        <v>45932</v>
      </c>
      <c r="C38" s="3" t="n">
        <f aca="false">MONTH(B38)</f>
        <v>10</v>
      </c>
      <c r="D38" s="0" t="n">
        <v>20220012636</v>
      </c>
      <c r="E38" s="0" t="s">
        <v>79</v>
      </c>
      <c r="F38" s="0" t="s">
        <v>80</v>
      </c>
      <c r="G38" s="0" t="s">
        <v>84</v>
      </c>
      <c r="H38" s="0" t="s">
        <v>35</v>
      </c>
      <c r="I38" s="0" t="str">
        <f aca="false">VLOOKUP(H38,'rozdělení obchodníků'!B:D,3, )</f>
        <v>Morava</v>
      </c>
      <c r="J38" s="4" t="n">
        <v>600000</v>
      </c>
    </row>
    <row r="39" customFormat="false" ht="15" hidden="false" customHeight="false" outlineLevel="0" collapsed="false">
      <c r="B39" s="2" t="n">
        <v>45932</v>
      </c>
      <c r="C39" s="3" t="n">
        <f aca="false">MONTH(B39)</f>
        <v>10</v>
      </c>
      <c r="D39" s="0" t="n">
        <v>20220012639</v>
      </c>
      <c r="E39" s="0" t="s">
        <v>79</v>
      </c>
      <c r="F39" s="0" t="s">
        <v>80</v>
      </c>
      <c r="G39" s="0" t="s">
        <v>84</v>
      </c>
      <c r="H39" s="0" t="s">
        <v>35</v>
      </c>
      <c r="I39" s="0" t="str">
        <f aca="false">VLOOKUP(H39,'rozdělení obchodníků'!B:D,3, )</f>
        <v>Morava</v>
      </c>
      <c r="J39" s="4" t="n">
        <v>600000</v>
      </c>
    </row>
    <row r="40" customFormat="false" ht="15" hidden="false" customHeight="false" outlineLevel="0" collapsed="false">
      <c r="B40" s="2" t="n">
        <v>45932</v>
      </c>
      <c r="C40" s="3" t="n">
        <f aca="false">MONTH(B40)</f>
        <v>10</v>
      </c>
      <c r="D40" s="0" t="n">
        <v>20220012642</v>
      </c>
      <c r="E40" s="0" t="s">
        <v>79</v>
      </c>
      <c r="F40" s="0" t="s">
        <v>80</v>
      </c>
      <c r="G40" s="0" t="s">
        <v>84</v>
      </c>
      <c r="H40" s="0" t="s">
        <v>35</v>
      </c>
      <c r="I40" s="0" t="str">
        <f aca="false">VLOOKUP(H40,'rozdělení obchodníků'!B:D,3, )</f>
        <v>Morava</v>
      </c>
      <c r="J40" s="4" t="n">
        <v>600000</v>
      </c>
    </row>
    <row r="41" customFormat="false" ht="15" hidden="false" customHeight="false" outlineLevel="0" collapsed="false">
      <c r="B41" s="2" t="n">
        <v>45932</v>
      </c>
      <c r="C41" s="3" t="n">
        <f aca="false">MONTH(B41)</f>
        <v>10</v>
      </c>
      <c r="D41" s="0" t="n">
        <v>20220012645</v>
      </c>
      <c r="E41" s="0" t="s">
        <v>79</v>
      </c>
      <c r="F41" s="0" t="s">
        <v>83</v>
      </c>
      <c r="G41" s="0" t="s">
        <v>81</v>
      </c>
      <c r="H41" s="0" t="s">
        <v>10</v>
      </c>
      <c r="I41" s="0" t="str">
        <f aca="false">VLOOKUP(H41,'rozdělení obchodníků'!B:D,3, )</f>
        <v>Čechy</v>
      </c>
      <c r="J41" s="4" t="n">
        <v>1650000</v>
      </c>
    </row>
    <row r="42" customFormat="false" ht="15" hidden="false" customHeight="false" outlineLevel="0" collapsed="false">
      <c r="B42" s="2" t="n">
        <v>45932</v>
      </c>
      <c r="C42" s="3" t="n">
        <f aca="false">MONTH(B42)</f>
        <v>10</v>
      </c>
      <c r="D42" s="0" t="n">
        <v>20220012648</v>
      </c>
      <c r="E42" s="0" t="s">
        <v>79</v>
      </c>
      <c r="F42" s="0" t="s">
        <v>83</v>
      </c>
      <c r="G42" s="0" t="s">
        <v>81</v>
      </c>
      <c r="H42" s="0" t="s">
        <v>10</v>
      </c>
      <c r="I42" s="0" t="str">
        <f aca="false">VLOOKUP(H42,'rozdělení obchodníků'!B:D,3, )</f>
        <v>Čechy</v>
      </c>
      <c r="J42" s="4" t="n">
        <v>450000</v>
      </c>
    </row>
    <row r="43" customFormat="false" ht="15" hidden="false" customHeight="false" outlineLevel="0" collapsed="false">
      <c r="B43" s="2" t="n">
        <v>45932</v>
      </c>
      <c r="C43" s="3" t="n">
        <f aca="false">MONTH(B43)</f>
        <v>10</v>
      </c>
      <c r="D43" s="0" t="n">
        <v>20220012651</v>
      </c>
      <c r="E43" s="0" t="s">
        <v>79</v>
      </c>
      <c r="F43" s="0" t="s">
        <v>83</v>
      </c>
      <c r="G43" s="0" t="s">
        <v>81</v>
      </c>
      <c r="H43" s="0" t="s">
        <v>10</v>
      </c>
      <c r="I43" s="0" t="str">
        <f aca="false">VLOOKUP(H43,'rozdělení obchodníků'!B:D,3, )</f>
        <v>Čechy</v>
      </c>
      <c r="J43" s="4" t="n">
        <v>450000</v>
      </c>
    </row>
    <row r="44" customFormat="false" ht="15" hidden="false" customHeight="false" outlineLevel="0" collapsed="false">
      <c r="B44" s="2" t="n">
        <v>45932</v>
      </c>
      <c r="C44" s="3" t="n">
        <f aca="false">MONTH(B44)</f>
        <v>10</v>
      </c>
      <c r="D44" s="0" t="n">
        <v>20220012654</v>
      </c>
      <c r="E44" s="0" t="s">
        <v>79</v>
      </c>
      <c r="F44" s="0" t="s">
        <v>82</v>
      </c>
      <c r="G44" s="0" t="s">
        <v>81</v>
      </c>
      <c r="H44" s="0" t="s">
        <v>21</v>
      </c>
      <c r="I44" s="0" t="str">
        <f aca="false">VLOOKUP(H44,'rozdělení obchodníků'!B:D,3, )</f>
        <v>Praha</v>
      </c>
      <c r="J44" s="4" t="n">
        <v>1000000</v>
      </c>
    </row>
    <row r="45" customFormat="false" ht="15" hidden="false" customHeight="false" outlineLevel="0" collapsed="false">
      <c r="B45" s="2" t="n">
        <v>45932</v>
      </c>
      <c r="C45" s="3" t="n">
        <f aca="false">MONTH(B45)</f>
        <v>10</v>
      </c>
      <c r="D45" s="0" t="n">
        <v>20220012657</v>
      </c>
      <c r="E45" s="0" t="s">
        <v>79</v>
      </c>
      <c r="F45" s="0" t="s">
        <v>82</v>
      </c>
      <c r="G45" s="0" t="s">
        <v>81</v>
      </c>
      <c r="H45" s="0" t="s">
        <v>51</v>
      </c>
      <c r="I45" s="0" t="str">
        <f aca="false">VLOOKUP(H45,'rozdělení obchodníků'!B:D,3, )</f>
        <v>Praha</v>
      </c>
      <c r="J45" s="4" t="n">
        <v>100000</v>
      </c>
    </row>
    <row r="46" customFormat="false" ht="15" hidden="false" customHeight="false" outlineLevel="0" collapsed="false">
      <c r="B46" s="2" t="n">
        <v>45932</v>
      </c>
      <c r="C46" s="3" t="n">
        <f aca="false">MONTH(B46)</f>
        <v>10</v>
      </c>
      <c r="D46" s="0" t="n">
        <v>20220012660</v>
      </c>
      <c r="E46" s="0" t="s">
        <v>79</v>
      </c>
      <c r="F46" s="0" t="s">
        <v>82</v>
      </c>
      <c r="G46" s="0" t="s">
        <v>81</v>
      </c>
      <c r="H46" s="0" t="s">
        <v>51</v>
      </c>
      <c r="I46" s="0" t="str">
        <f aca="false">VLOOKUP(H46,'rozdělení obchodníků'!B:D,3, )</f>
        <v>Praha</v>
      </c>
      <c r="J46" s="4" t="n">
        <v>100000</v>
      </c>
    </row>
    <row r="47" customFormat="false" ht="15" hidden="false" customHeight="false" outlineLevel="0" collapsed="false">
      <c r="B47" s="2" t="n">
        <v>45932</v>
      </c>
      <c r="C47" s="3" t="n">
        <f aca="false">MONTH(B47)</f>
        <v>10</v>
      </c>
      <c r="D47" s="0" t="n">
        <v>20220012663</v>
      </c>
      <c r="E47" s="0" t="s">
        <v>79</v>
      </c>
      <c r="F47" s="0" t="s">
        <v>83</v>
      </c>
      <c r="G47" s="0" t="s">
        <v>81</v>
      </c>
      <c r="H47" s="0" t="s">
        <v>47</v>
      </c>
      <c r="I47" s="0" t="str">
        <f aca="false">VLOOKUP(H47,'rozdělení obchodníků'!B:D,3, )</f>
        <v>Morava</v>
      </c>
      <c r="J47" s="4" t="n">
        <v>1000000</v>
      </c>
    </row>
    <row r="48" customFormat="false" ht="15" hidden="false" customHeight="false" outlineLevel="0" collapsed="false">
      <c r="B48" s="2" t="n">
        <v>45932</v>
      </c>
      <c r="C48" s="3" t="n">
        <f aca="false">MONTH(B48)</f>
        <v>10</v>
      </c>
      <c r="D48" s="0" t="n">
        <v>20220012666</v>
      </c>
      <c r="E48" s="0" t="s">
        <v>79</v>
      </c>
      <c r="F48" s="0" t="s">
        <v>83</v>
      </c>
      <c r="G48" s="0" t="s">
        <v>81</v>
      </c>
      <c r="H48" s="0" t="s">
        <v>47</v>
      </c>
      <c r="I48" s="0" t="str">
        <f aca="false">VLOOKUP(H48,'rozdělení obchodníků'!B:D,3, )</f>
        <v>Morava</v>
      </c>
      <c r="J48" s="4" t="n">
        <v>1000000</v>
      </c>
    </row>
    <row r="49" customFormat="false" ht="15" hidden="false" customHeight="false" outlineLevel="0" collapsed="false">
      <c r="B49" s="2" t="n">
        <v>45932</v>
      </c>
      <c r="C49" s="3" t="n">
        <f aca="false">MONTH(B49)</f>
        <v>10</v>
      </c>
      <c r="D49" s="0" t="n">
        <v>20220012669</v>
      </c>
      <c r="E49" s="0" t="s">
        <v>79</v>
      </c>
      <c r="F49" s="0" t="s">
        <v>83</v>
      </c>
      <c r="G49" s="0" t="s">
        <v>81</v>
      </c>
      <c r="H49" s="0" t="s">
        <v>47</v>
      </c>
      <c r="I49" s="0" t="str">
        <f aca="false">VLOOKUP(H49,'rozdělení obchodníků'!B:D,3, )</f>
        <v>Morava</v>
      </c>
      <c r="J49" s="4" t="n">
        <v>1000000</v>
      </c>
    </row>
    <row r="50" customFormat="false" ht="15" hidden="false" customHeight="false" outlineLevel="0" collapsed="false">
      <c r="B50" s="2" t="n">
        <v>45932</v>
      </c>
      <c r="C50" s="3" t="n">
        <f aca="false">MONTH(B50)</f>
        <v>10</v>
      </c>
      <c r="D50" s="0" t="n">
        <v>20220012672</v>
      </c>
      <c r="E50" s="0" t="s">
        <v>79</v>
      </c>
      <c r="F50" s="0" t="s">
        <v>83</v>
      </c>
      <c r="G50" s="0" t="s">
        <v>81</v>
      </c>
      <c r="H50" s="0" t="s">
        <v>31</v>
      </c>
      <c r="I50" s="0" t="str">
        <f aca="false">VLOOKUP(H50,'rozdělení obchodníků'!B:D,3, )</f>
        <v>Morava</v>
      </c>
      <c r="J50" s="4" t="n">
        <v>250000</v>
      </c>
    </row>
    <row r="51" customFormat="false" ht="15" hidden="false" customHeight="false" outlineLevel="0" collapsed="false">
      <c r="B51" s="2" t="n">
        <v>45932</v>
      </c>
      <c r="C51" s="3" t="n">
        <f aca="false">MONTH(B51)</f>
        <v>10</v>
      </c>
      <c r="D51" s="0" t="n">
        <v>20220012675</v>
      </c>
      <c r="E51" s="0" t="s">
        <v>79</v>
      </c>
      <c r="F51" s="0" t="s">
        <v>83</v>
      </c>
      <c r="G51" s="0" t="s">
        <v>81</v>
      </c>
      <c r="H51" s="0" t="s">
        <v>10</v>
      </c>
      <c r="I51" s="0" t="str">
        <f aca="false">VLOOKUP(H51,'rozdělení obchodníků'!B:D,3, )</f>
        <v>Čechy</v>
      </c>
      <c r="J51" s="4" t="n">
        <v>250000</v>
      </c>
    </row>
    <row r="52" customFormat="false" ht="15" hidden="false" customHeight="false" outlineLevel="0" collapsed="false">
      <c r="B52" s="2" t="n">
        <v>45932</v>
      </c>
      <c r="C52" s="3" t="n">
        <f aca="false">MONTH(B52)</f>
        <v>10</v>
      </c>
      <c r="D52" s="0" t="n">
        <v>20220012678</v>
      </c>
      <c r="E52" s="0" t="s">
        <v>79</v>
      </c>
      <c r="F52" s="0" t="s">
        <v>83</v>
      </c>
      <c r="G52" s="0" t="s">
        <v>81</v>
      </c>
      <c r="H52" s="0" t="s">
        <v>10</v>
      </c>
      <c r="I52" s="0" t="str">
        <f aca="false">VLOOKUP(H52,'rozdělení obchodníků'!B:D,3, )</f>
        <v>Čechy</v>
      </c>
      <c r="J52" s="4" t="n">
        <v>250000</v>
      </c>
    </row>
    <row r="53" customFormat="false" ht="15" hidden="false" customHeight="false" outlineLevel="0" collapsed="false">
      <c r="B53" s="2" t="n">
        <v>45932</v>
      </c>
      <c r="C53" s="3" t="n">
        <f aca="false">MONTH(B53)</f>
        <v>10</v>
      </c>
      <c r="D53" s="0" t="n">
        <v>20220012681</v>
      </c>
      <c r="E53" s="0" t="s">
        <v>79</v>
      </c>
      <c r="F53" s="0" t="s">
        <v>83</v>
      </c>
      <c r="G53" s="0" t="s">
        <v>81</v>
      </c>
      <c r="H53" s="0" t="s">
        <v>10</v>
      </c>
      <c r="I53" s="0" t="str">
        <f aca="false">VLOOKUP(H53,'rozdělení obchodníků'!B:D,3, )</f>
        <v>Čechy</v>
      </c>
      <c r="J53" s="4" t="n">
        <v>1000000</v>
      </c>
    </row>
    <row r="54" customFormat="false" ht="15" hidden="false" customHeight="false" outlineLevel="0" collapsed="false">
      <c r="B54" s="2" t="n">
        <v>45932</v>
      </c>
      <c r="C54" s="3" t="n">
        <f aca="false">MONTH(B54)</f>
        <v>10</v>
      </c>
      <c r="D54" s="0" t="n">
        <v>20220012684</v>
      </c>
      <c r="E54" s="0" t="s">
        <v>79</v>
      </c>
      <c r="F54" s="0" t="s">
        <v>83</v>
      </c>
      <c r="G54" s="0" t="s">
        <v>81</v>
      </c>
      <c r="H54" s="0" t="s">
        <v>10</v>
      </c>
      <c r="I54" s="0" t="str">
        <f aca="false">VLOOKUP(H54,'rozdělení obchodníků'!B:D,3, )</f>
        <v>Čechy</v>
      </c>
      <c r="J54" s="4" t="n">
        <v>100000</v>
      </c>
    </row>
    <row r="55" customFormat="false" ht="15" hidden="false" customHeight="false" outlineLevel="0" collapsed="false">
      <c r="B55" s="2" t="n">
        <v>45932</v>
      </c>
      <c r="C55" s="3" t="n">
        <f aca="false">MONTH(B55)</f>
        <v>10</v>
      </c>
      <c r="D55" s="0" t="n">
        <v>20220012687</v>
      </c>
      <c r="E55" s="0" t="s">
        <v>79</v>
      </c>
      <c r="F55" s="0" t="s">
        <v>83</v>
      </c>
      <c r="G55" s="0" t="s">
        <v>81</v>
      </c>
      <c r="H55" s="0" t="s">
        <v>10</v>
      </c>
      <c r="I55" s="0" t="str">
        <f aca="false">VLOOKUP(H55,'rozdělení obchodníků'!B:D,3, )</f>
        <v>Čechy</v>
      </c>
      <c r="J55" s="4" t="n">
        <v>100000</v>
      </c>
    </row>
    <row r="56" customFormat="false" ht="15" hidden="false" customHeight="false" outlineLevel="0" collapsed="false">
      <c r="B56" s="2" t="n">
        <v>45932</v>
      </c>
      <c r="C56" s="3" t="n">
        <f aca="false">MONTH(B56)</f>
        <v>10</v>
      </c>
      <c r="D56" s="0" t="n">
        <v>20220012690</v>
      </c>
      <c r="E56" s="0" t="s">
        <v>79</v>
      </c>
      <c r="F56" s="0" t="s">
        <v>83</v>
      </c>
      <c r="G56" s="0" t="s">
        <v>81</v>
      </c>
      <c r="H56" s="0" t="s">
        <v>65</v>
      </c>
      <c r="I56" s="0" t="str">
        <f aca="false">VLOOKUP(H56,'rozdělení obchodníků'!B:D,3, )</f>
        <v>Praha</v>
      </c>
      <c r="J56" s="4" t="n">
        <v>100000</v>
      </c>
    </row>
    <row r="57" customFormat="false" ht="15" hidden="false" customHeight="false" outlineLevel="0" collapsed="false">
      <c r="B57" s="2" t="n">
        <v>45932</v>
      </c>
      <c r="C57" s="3" t="n">
        <f aca="false">MONTH(B57)</f>
        <v>10</v>
      </c>
      <c r="D57" s="0" t="n">
        <v>20220012693</v>
      </c>
      <c r="E57" s="0" t="s">
        <v>79</v>
      </c>
      <c r="F57" s="0" t="s">
        <v>83</v>
      </c>
      <c r="G57" s="0" t="s">
        <v>81</v>
      </c>
      <c r="H57" s="0" t="s">
        <v>65</v>
      </c>
      <c r="I57" s="0" t="str">
        <f aca="false">VLOOKUP(H57,'rozdělení obchodníků'!B:D,3, )</f>
        <v>Praha</v>
      </c>
      <c r="J57" s="4" t="n">
        <v>100000</v>
      </c>
    </row>
    <row r="58" customFormat="false" ht="15" hidden="false" customHeight="false" outlineLevel="0" collapsed="false">
      <c r="B58" s="2" t="n">
        <v>45932</v>
      </c>
      <c r="C58" s="3" t="n">
        <f aca="false">MONTH(B58)</f>
        <v>10</v>
      </c>
      <c r="D58" s="0" t="n">
        <v>20220012696</v>
      </c>
      <c r="E58" s="0" t="s">
        <v>79</v>
      </c>
      <c r="F58" s="0" t="s">
        <v>83</v>
      </c>
      <c r="G58" s="0" t="s">
        <v>81</v>
      </c>
      <c r="H58" s="0" t="s">
        <v>65</v>
      </c>
      <c r="I58" s="0" t="str">
        <f aca="false">VLOOKUP(H58,'rozdělení obchodníků'!B:D,3, )</f>
        <v>Praha</v>
      </c>
      <c r="J58" s="4" t="n">
        <v>1000000</v>
      </c>
    </row>
    <row r="59" customFormat="false" ht="15" hidden="false" customHeight="false" outlineLevel="0" collapsed="false">
      <c r="B59" s="2" t="n">
        <v>45932</v>
      </c>
      <c r="C59" s="3" t="n">
        <f aca="false">MONTH(B59)</f>
        <v>10</v>
      </c>
      <c r="D59" s="0" t="n">
        <v>20220012699</v>
      </c>
      <c r="E59" s="0" t="s">
        <v>79</v>
      </c>
      <c r="F59" s="0" t="s">
        <v>83</v>
      </c>
      <c r="G59" s="0" t="s">
        <v>81</v>
      </c>
      <c r="H59" s="0" t="s">
        <v>63</v>
      </c>
      <c r="I59" s="0" t="str">
        <f aca="false">VLOOKUP(H59,'rozdělení obchodníků'!B:D,3, )</f>
        <v>Praha</v>
      </c>
      <c r="J59" s="4" t="n">
        <v>200000</v>
      </c>
    </row>
    <row r="60" customFormat="false" ht="15" hidden="false" customHeight="false" outlineLevel="0" collapsed="false">
      <c r="B60" s="2" t="n">
        <v>45932</v>
      </c>
      <c r="C60" s="3" t="n">
        <f aca="false">MONTH(B60)</f>
        <v>10</v>
      </c>
      <c r="D60" s="0" t="n">
        <v>20220012702</v>
      </c>
      <c r="E60" s="0" t="s">
        <v>79</v>
      </c>
      <c r="F60" s="0" t="s">
        <v>82</v>
      </c>
      <c r="G60" s="0" t="s">
        <v>81</v>
      </c>
      <c r="H60" s="0" t="s">
        <v>7</v>
      </c>
      <c r="I60" s="0" t="str">
        <f aca="false">VLOOKUP(H60,'rozdělení obchodníků'!B:D,3, )</f>
        <v>Praha</v>
      </c>
      <c r="J60" s="4" t="n">
        <v>750000</v>
      </c>
    </row>
    <row r="61" customFormat="false" ht="15" hidden="false" customHeight="false" outlineLevel="0" collapsed="false">
      <c r="B61" s="2" t="n">
        <v>45933</v>
      </c>
      <c r="C61" s="3" t="n">
        <f aca="false">MONTH(B61)</f>
        <v>10</v>
      </c>
      <c r="D61" s="0" t="n">
        <v>20220012705</v>
      </c>
      <c r="E61" s="0" t="s">
        <v>79</v>
      </c>
      <c r="F61" s="0" t="s">
        <v>82</v>
      </c>
      <c r="G61" s="0" t="s">
        <v>81</v>
      </c>
      <c r="H61" s="0" t="s">
        <v>17</v>
      </c>
      <c r="I61" s="0" t="str">
        <f aca="false">VLOOKUP(H61,'rozdělení obchodníků'!B:D,3, )</f>
        <v>Praha</v>
      </c>
      <c r="J61" s="4" t="n">
        <v>250000</v>
      </c>
    </row>
    <row r="62" customFormat="false" ht="15" hidden="false" customHeight="false" outlineLevel="0" collapsed="false">
      <c r="B62" s="2" t="n">
        <v>45933</v>
      </c>
      <c r="C62" s="3" t="n">
        <f aca="false">MONTH(B62)</f>
        <v>10</v>
      </c>
      <c r="D62" s="0" t="n">
        <v>20220012708</v>
      </c>
      <c r="E62" s="0" t="s">
        <v>79</v>
      </c>
      <c r="F62" s="0" t="s">
        <v>82</v>
      </c>
      <c r="G62" s="0" t="s">
        <v>81</v>
      </c>
      <c r="H62" s="0" t="s">
        <v>53</v>
      </c>
      <c r="I62" s="0" t="str">
        <f aca="false">VLOOKUP(H62,'rozdělení obchodníků'!B:D,3, )</f>
        <v>Praha</v>
      </c>
      <c r="J62" s="4" t="n">
        <v>250000</v>
      </c>
    </row>
    <row r="63" customFormat="false" ht="15" hidden="false" customHeight="false" outlineLevel="0" collapsed="false">
      <c r="B63" s="2" t="n">
        <v>45933</v>
      </c>
      <c r="C63" s="3" t="n">
        <f aca="false">MONTH(B63)</f>
        <v>10</v>
      </c>
      <c r="D63" s="0" t="n">
        <v>20220012711</v>
      </c>
      <c r="E63" s="0" t="s">
        <v>79</v>
      </c>
      <c r="F63" s="0" t="s">
        <v>82</v>
      </c>
      <c r="G63" s="0" t="s">
        <v>81</v>
      </c>
      <c r="H63" s="0" t="s">
        <v>69</v>
      </c>
      <c r="I63" s="0" t="str">
        <f aca="false">VLOOKUP(H63,'rozdělení obchodníků'!B:D,3, )</f>
        <v>Praha</v>
      </c>
      <c r="J63" s="4" t="n">
        <v>100000</v>
      </c>
    </row>
    <row r="64" customFormat="false" ht="15" hidden="false" customHeight="false" outlineLevel="0" collapsed="false">
      <c r="B64" s="2" t="n">
        <v>45933</v>
      </c>
      <c r="C64" s="3" t="n">
        <f aca="false">MONTH(B64)</f>
        <v>10</v>
      </c>
      <c r="D64" s="0" t="n">
        <v>20220012714</v>
      </c>
      <c r="E64" s="0" t="s">
        <v>79</v>
      </c>
      <c r="F64" s="0" t="s">
        <v>82</v>
      </c>
      <c r="G64" s="0" t="s">
        <v>81</v>
      </c>
      <c r="H64" s="0" t="s">
        <v>21</v>
      </c>
      <c r="I64" s="0" t="str">
        <f aca="false">VLOOKUP(H64,'rozdělení obchodníků'!B:D,3, )</f>
        <v>Praha</v>
      </c>
      <c r="J64" s="4" t="n">
        <v>1000000</v>
      </c>
    </row>
    <row r="65" customFormat="false" ht="15" hidden="false" customHeight="false" outlineLevel="0" collapsed="false">
      <c r="B65" s="2" t="n">
        <v>45933</v>
      </c>
      <c r="C65" s="3" t="n">
        <f aca="false">MONTH(B65)</f>
        <v>10</v>
      </c>
      <c r="D65" s="0" t="n">
        <v>20220012717</v>
      </c>
      <c r="E65" s="0" t="s">
        <v>79</v>
      </c>
      <c r="F65" s="0" t="s">
        <v>83</v>
      </c>
      <c r="G65" s="0" t="s">
        <v>81</v>
      </c>
      <c r="H65" s="0" t="s">
        <v>51</v>
      </c>
      <c r="I65" s="0" t="str">
        <f aca="false">VLOOKUP(H65,'rozdělení obchodníků'!B:D,3, )</f>
        <v>Praha</v>
      </c>
      <c r="J65" s="4" t="n">
        <v>600000</v>
      </c>
    </row>
    <row r="66" customFormat="false" ht="15" hidden="false" customHeight="false" outlineLevel="0" collapsed="false">
      <c r="B66" s="2" t="n">
        <v>45933</v>
      </c>
      <c r="C66" s="3" t="n">
        <f aca="false">MONTH(B66)</f>
        <v>10</v>
      </c>
      <c r="D66" s="0" t="n">
        <v>20220012720</v>
      </c>
      <c r="E66" s="0" t="s">
        <v>79</v>
      </c>
      <c r="F66" s="0" t="s">
        <v>83</v>
      </c>
      <c r="G66" s="0" t="s">
        <v>81</v>
      </c>
      <c r="H66" s="0" t="s">
        <v>51</v>
      </c>
      <c r="I66" s="0" t="str">
        <f aca="false">VLOOKUP(H66,'rozdělení obchodníků'!B:D,3, )</f>
        <v>Praha</v>
      </c>
      <c r="J66" s="4" t="n">
        <v>600000</v>
      </c>
    </row>
    <row r="67" customFormat="false" ht="15" hidden="false" customHeight="false" outlineLevel="0" collapsed="false">
      <c r="B67" s="2" t="n">
        <v>45933</v>
      </c>
      <c r="C67" s="3" t="n">
        <f aca="false">MONTH(B67)</f>
        <v>10</v>
      </c>
      <c r="D67" s="0" t="n">
        <v>20220012723</v>
      </c>
      <c r="E67" s="0" t="s">
        <v>79</v>
      </c>
      <c r="F67" s="0" t="s">
        <v>82</v>
      </c>
      <c r="G67" s="0" t="s">
        <v>81</v>
      </c>
      <c r="H67" s="0" t="s">
        <v>25</v>
      </c>
      <c r="I67" s="0" t="str">
        <f aca="false">VLOOKUP(H67,'rozdělení obchodníků'!B:D,3, )</f>
        <v>Praha</v>
      </c>
      <c r="J67" s="4" t="n">
        <v>1000000</v>
      </c>
    </row>
    <row r="68" customFormat="false" ht="15" hidden="false" customHeight="false" outlineLevel="0" collapsed="false">
      <c r="B68" s="2" t="n">
        <v>45933</v>
      </c>
      <c r="C68" s="3" t="n">
        <f aca="false">MONTH(B68)</f>
        <v>10</v>
      </c>
      <c r="D68" s="0" t="n">
        <v>20220012726</v>
      </c>
      <c r="E68" s="0" t="s">
        <v>79</v>
      </c>
      <c r="F68" s="0" t="s">
        <v>82</v>
      </c>
      <c r="G68" s="0" t="s">
        <v>81</v>
      </c>
      <c r="H68" s="0" t="s">
        <v>25</v>
      </c>
      <c r="I68" s="0" t="str">
        <f aca="false">VLOOKUP(H68,'rozdělení obchodníků'!B:D,3, )</f>
        <v>Praha</v>
      </c>
      <c r="J68" s="4" t="n">
        <v>300000</v>
      </c>
    </row>
    <row r="69" customFormat="false" ht="15" hidden="false" customHeight="false" outlineLevel="0" collapsed="false">
      <c r="B69" s="2" t="n">
        <v>45933</v>
      </c>
      <c r="C69" s="3" t="n">
        <f aca="false">MONTH(B69)</f>
        <v>10</v>
      </c>
      <c r="D69" s="0" t="n">
        <v>20220012729</v>
      </c>
      <c r="E69" s="0" t="s">
        <v>79</v>
      </c>
      <c r="F69" s="0" t="s">
        <v>83</v>
      </c>
      <c r="G69" s="0" t="s">
        <v>81</v>
      </c>
      <c r="H69" s="0" t="s">
        <v>51</v>
      </c>
      <c r="I69" s="0" t="str">
        <f aca="false">VLOOKUP(H69,'rozdělení obchodníků'!B:D,3, )</f>
        <v>Praha</v>
      </c>
      <c r="J69" s="4" t="n">
        <v>100000</v>
      </c>
    </row>
    <row r="70" customFormat="false" ht="15" hidden="false" customHeight="false" outlineLevel="0" collapsed="false">
      <c r="B70" s="2" t="n">
        <v>45933</v>
      </c>
      <c r="C70" s="3" t="n">
        <f aca="false">MONTH(B70)</f>
        <v>10</v>
      </c>
      <c r="D70" s="0" t="n">
        <v>20220012732</v>
      </c>
      <c r="E70" s="0" t="s">
        <v>79</v>
      </c>
      <c r="F70" s="0" t="s">
        <v>82</v>
      </c>
      <c r="G70" s="0" t="s">
        <v>81</v>
      </c>
      <c r="H70" s="0" t="s">
        <v>17</v>
      </c>
      <c r="I70" s="0" t="str">
        <f aca="false">VLOOKUP(H70,'rozdělení obchodníků'!B:D,3, )</f>
        <v>Praha</v>
      </c>
      <c r="J70" s="4" t="n">
        <v>2000000</v>
      </c>
    </row>
    <row r="71" customFormat="false" ht="15" hidden="false" customHeight="false" outlineLevel="0" collapsed="false">
      <c r="B71" s="2" t="n">
        <v>45933</v>
      </c>
      <c r="C71" s="3" t="n">
        <f aca="false">MONTH(B71)</f>
        <v>10</v>
      </c>
      <c r="D71" s="0" t="n">
        <v>20220012735</v>
      </c>
      <c r="E71" s="0" t="s">
        <v>79</v>
      </c>
      <c r="F71" s="0" t="s">
        <v>82</v>
      </c>
      <c r="G71" s="0" t="s">
        <v>81</v>
      </c>
      <c r="H71" s="0" t="s">
        <v>65</v>
      </c>
      <c r="I71" s="0" t="str">
        <f aca="false">VLOOKUP(H71,'rozdělení obchodníků'!B:D,3, )</f>
        <v>Praha</v>
      </c>
      <c r="J71" s="4" t="n">
        <v>100000</v>
      </c>
    </row>
    <row r="72" customFormat="false" ht="15" hidden="false" customHeight="false" outlineLevel="0" collapsed="false">
      <c r="B72" s="2" t="n">
        <v>45933</v>
      </c>
      <c r="C72" s="3" t="n">
        <f aca="false">MONTH(B72)</f>
        <v>10</v>
      </c>
      <c r="D72" s="0" t="n">
        <v>20220012738</v>
      </c>
      <c r="E72" s="0" t="s">
        <v>79</v>
      </c>
      <c r="F72" s="0" t="s">
        <v>82</v>
      </c>
      <c r="G72" s="0" t="s">
        <v>81</v>
      </c>
      <c r="H72" s="0" t="s">
        <v>67</v>
      </c>
      <c r="I72" s="0" t="str">
        <f aca="false">VLOOKUP(H72,'rozdělení obchodníků'!B:D,3, )</f>
        <v>Čechy</v>
      </c>
      <c r="J72" s="4" t="n">
        <v>300000</v>
      </c>
    </row>
    <row r="73" customFormat="false" ht="15" hidden="false" customHeight="false" outlineLevel="0" collapsed="false">
      <c r="B73" s="2" t="n">
        <v>45934</v>
      </c>
      <c r="C73" s="3" t="n">
        <f aca="false">MONTH(B73)</f>
        <v>10</v>
      </c>
      <c r="D73" s="0" t="n">
        <v>20220012741</v>
      </c>
      <c r="E73" s="0" t="s">
        <v>79</v>
      </c>
      <c r="F73" s="0" t="s">
        <v>82</v>
      </c>
      <c r="G73" s="0" t="s">
        <v>81</v>
      </c>
      <c r="H73" s="0" t="s">
        <v>31</v>
      </c>
      <c r="I73" s="0" t="str">
        <f aca="false">VLOOKUP(H73,'rozdělení obchodníků'!B:D,3, )</f>
        <v>Morava</v>
      </c>
      <c r="J73" s="4" t="n">
        <v>1000000</v>
      </c>
    </row>
    <row r="74" customFormat="false" ht="15" hidden="false" customHeight="false" outlineLevel="0" collapsed="false">
      <c r="B74" s="2" t="n">
        <v>45934</v>
      </c>
      <c r="C74" s="3" t="n">
        <f aca="false">MONTH(B74)</f>
        <v>10</v>
      </c>
      <c r="D74" s="0" t="n">
        <v>20220012744</v>
      </c>
      <c r="E74" s="0" t="s">
        <v>79</v>
      </c>
      <c r="F74" s="0" t="s">
        <v>82</v>
      </c>
      <c r="G74" s="0" t="s">
        <v>81</v>
      </c>
      <c r="H74" s="0" t="s">
        <v>43</v>
      </c>
      <c r="I74" s="0" t="str">
        <f aca="false">VLOOKUP(H74,'rozdělení obchodníků'!B:D,3, )</f>
        <v>Praha</v>
      </c>
      <c r="J74" s="4" t="n">
        <v>100000</v>
      </c>
    </row>
    <row r="75" customFormat="false" ht="15" hidden="false" customHeight="false" outlineLevel="0" collapsed="false">
      <c r="B75" s="2" t="n">
        <v>45934</v>
      </c>
      <c r="C75" s="3" t="n">
        <f aca="false">MONTH(B75)</f>
        <v>10</v>
      </c>
      <c r="D75" s="0" t="n">
        <v>20220012747</v>
      </c>
      <c r="E75" s="0" t="s">
        <v>79</v>
      </c>
      <c r="F75" s="0" t="s">
        <v>83</v>
      </c>
      <c r="G75" s="0" t="s">
        <v>81</v>
      </c>
      <c r="H75" s="0" t="s">
        <v>69</v>
      </c>
      <c r="I75" s="0" t="str">
        <f aca="false">VLOOKUP(H75,'rozdělení obchodníků'!B:D,3, )</f>
        <v>Praha</v>
      </c>
      <c r="J75" s="4" t="n">
        <v>500000</v>
      </c>
    </row>
    <row r="76" customFormat="false" ht="15" hidden="false" customHeight="false" outlineLevel="0" collapsed="false">
      <c r="B76" s="2" t="n">
        <v>45934</v>
      </c>
      <c r="C76" s="3" t="n">
        <f aca="false">MONTH(B76)</f>
        <v>10</v>
      </c>
      <c r="D76" s="0" t="n">
        <v>20220012750</v>
      </c>
      <c r="E76" s="0" t="s">
        <v>79</v>
      </c>
      <c r="F76" s="0" t="s">
        <v>83</v>
      </c>
      <c r="G76" s="0" t="s">
        <v>81</v>
      </c>
      <c r="H76" s="0" t="s">
        <v>69</v>
      </c>
      <c r="I76" s="0" t="str">
        <f aca="false">VLOOKUP(H76,'rozdělení obchodníků'!B:D,3, )</f>
        <v>Praha</v>
      </c>
      <c r="J76" s="4" t="n">
        <v>100000</v>
      </c>
    </row>
    <row r="77" customFormat="false" ht="15" hidden="false" customHeight="false" outlineLevel="0" collapsed="false">
      <c r="B77" s="2" t="n">
        <v>45934</v>
      </c>
      <c r="C77" s="3" t="n">
        <f aca="false">MONTH(B77)</f>
        <v>10</v>
      </c>
      <c r="D77" s="0" t="n">
        <v>20220012753</v>
      </c>
      <c r="E77" s="0" t="s">
        <v>79</v>
      </c>
      <c r="F77" s="0" t="s">
        <v>82</v>
      </c>
      <c r="G77" s="0" t="s">
        <v>81</v>
      </c>
      <c r="H77" s="0" t="s">
        <v>69</v>
      </c>
      <c r="I77" s="0" t="str">
        <f aca="false">VLOOKUP(H77,'rozdělení obchodníků'!B:D,3, )</f>
        <v>Praha</v>
      </c>
      <c r="J77" s="4" t="n">
        <v>600000</v>
      </c>
    </row>
    <row r="78" customFormat="false" ht="15" hidden="false" customHeight="false" outlineLevel="0" collapsed="false">
      <c r="B78" s="2" t="n">
        <v>45934</v>
      </c>
      <c r="C78" s="3" t="n">
        <f aca="false">MONTH(B78)</f>
        <v>10</v>
      </c>
      <c r="D78" s="0" t="n">
        <v>20220012756</v>
      </c>
      <c r="E78" s="0" t="s">
        <v>79</v>
      </c>
      <c r="F78" s="0" t="s">
        <v>82</v>
      </c>
      <c r="G78" s="0" t="s">
        <v>81</v>
      </c>
      <c r="H78" s="0" t="s">
        <v>17</v>
      </c>
      <c r="I78" s="0" t="str">
        <f aca="false">VLOOKUP(H78,'rozdělení obchodníků'!B:D,3, )</f>
        <v>Praha</v>
      </c>
      <c r="J78" s="4" t="n">
        <v>600000</v>
      </c>
    </row>
    <row r="79" customFormat="false" ht="15" hidden="false" customHeight="false" outlineLevel="0" collapsed="false">
      <c r="B79" s="2" t="n">
        <v>45934</v>
      </c>
      <c r="C79" s="3" t="n">
        <f aca="false">MONTH(B79)</f>
        <v>10</v>
      </c>
      <c r="D79" s="0" t="n">
        <v>20220012759</v>
      </c>
      <c r="E79" s="0" t="s">
        <v>79</v>
      </c>
      <c r="F79" s="0" t="s">
        <v>82</v>
      </c>
      <c r="G79" s="0" t="s">
        <v>81</v>
      </c>
      <c r="H79" s="0" t="s">
        <v>43</v>
      </c>
      <c r="I79" s="0" t="str">
        <f aca="false">VLOOKUP(H79,'rozdělení obchodníků'!B:D,3, )</f>
        <v>Praha</v>
      </c>
      <c r="J79" s="4" t="n">
        <v>250000</v>
      </c>
    </row>
    <row r="80" customFormat="false" ht="15" hidden="false" customHeight="false" outlineLevel="0" collapsed="false">
      <c r="B80" s="2" t="n">
        <v>45934</v>
      </c>
      <c r="C80" s="3" t="n">
        <f aca="false">MONTH(B80)</f>
        <v>10</v>
      </c>
      <c r="D80" s="0" t="n">
        <v>20220012762</v>
      </c>
      <c r="E80" s="0" t="s">
        <v>79</v>
      </c>
      <c r="F80" s="0" t="s">
        <v>82</v>
      </c>
      <c r="G80" s="0" t="s">
        <v>81</v>
      </c>
      <c r="H80" s="0" t="s">
        <v>43</v>
      </c>
      <c r="I80" s="0" t="str">
        <f aca="false">VLOOKUP(H80,'rozdělení obchodníků'!B:D,3, )</f>
        <v>Praha</v>
      </c>
      <c r="J80" s="4" t="n">
        <v>250000</v>
      </c>
    </row>
    <row r="81" customFormat="false" ht="15" hidden="false" customHeight="false" outlineLevel="0" collapsed="false">
      <c r="B81" s="2" t="n">
        <v>45934</v>
      </c>
      <c r="C81" s="3" t="n">
        <f aca="false">MONTH(B81)</f>
        <v>10</v>
      </c>
      <c r="D81" s="0" t="n">
        <v>20220012765</v>
      </c>
      <c r="E81" s="0" t="s">
        <v>79</v>
      </c>
      <c r="F81" s="0" t="s">
        <v>83</v>
      </c>
      <c r="G81" s="0" t="s">
        <v>81</v>
      </c>
      <c r="H81" s="0" t="s">
        <v>7</v>
      </c>
      <c r="I81" s="0" t="str">
        <f aca="false">VLOOKUP(H81,'rozdělení obchodníků'!B:D,3, )</f>
        <v>Praha</v>
      </c>
      <c r="J81" s="4" t="n">
        <v>100000</v>
      </c>
    </row>
    <row r="82" customFormat="false" ht="15" hidden="false" customHeight="false" outlineLevel="0" collapsed="false">
      <c r="B82" s="2" t="n">
        <v>45934</v>
      </c>
      <c r="C82" s="3" t="n">
        <f aca="false">MONTH(B82)</f>
        <v>10</v>
      </c>
      <c r="D82" s="0" t="n">
        <v>20220012768</v>
      </c>
      <c r="E82" s="0" t="s">
        <v>79</v>
      </c>
      <c r="F82" s="0" t="s">
        <v>83</v>
      </c>
      <c r="G82" s="0" t="s">
        <v>81</v>
      </c>
      <c r="H82" s="0" t="s">
        <v>17</v>
      </c>
      <c r="I82" s="0" t="str">
        <f aca="false">VLOOKUP(H82,'rozdělení obchodníků'!B:D,3, )</f>
        <v>Praha</v>
      </c>
      <c r="J82" s="4" t="n">
        <v>1000000</v>
      </c>
    </row>
    <row r="83" customFormat="false" ht="15" hidden="false" customHeight="false" outlineLevel="0" collapsed="false">
      <c r="B83" s="2" t="n">
        <v>45934</v>
      </c>
      <c r="C83" s="3" t="n">
        <f aca="false">MONTH(B83)</f>
        <v>10</v>
      </c>
      <c r="D83" s="0" t="n">
        <v>20220012771</v>
      </c>
      <c r="E83" s="0" t="s">
        <v>79</v>
      </c>
      <c r="F83" s="0" t="s">
        <v>82</v>
      </c>
      <c r="G83" s="0" t="s">
        <v>81</v>
      </c>
      <c r="H83" s="0" t="s">
        <v>39</v>
      </c>
      <c r="I83" s="0" t="str">
        <f aca="false">VLOOKUP(H83,'rozdělení obchodníků'!B:D,3, )</f>
        <v>Morava</v>
      </c>
      <c r="J83" s="4" t="n">
        <v>350000</v>
      </c>
    </row>
    <row r="84" customFormat="false" ht="15" hidden="false" customHeight="false" outlineLevel="0" collapsed="false">
      <c r="B84" s="2" t="n">
        <v>45934</v>
      </c>
      <c r="C84" s="3" t="n">
        <f aca="false">MONTH(B84)</f>
        <v>10</v>
      </c>
      <c r="D84" s="0" t="n">
        <v>20220012774</v>
      </c>
      <c r="E84" s="0" t="s">
        <v>79</v>
      </c>
      <c r="F84" s="0" t="s">
        <v>82</v>
      </c>
      <c r="G84" s="0" t="s">
        <v>81</v>
      </c>
      <c r="H84" s="0" t="s">
        <v>25</v>
      </c>
      <c r="I84" s="0" t="str">
        <f aca="false">VLOOKUP(H84,'rozdělení obchodníků'!B:D,3, )</f>
        <v>Praha</v>
      </c>
      <c r="J84" s="4" t="n">
        <v>1350000</v>
      </c>
    </row>
    <row r="85" customFormat="false" ht="15" hidden="false" customHeight="false" outlineLevel="0" collapsed="false">
      <c r="B85" s="2" t="n">
        <v>45934</v>
      </c>
      <c r="C85" s="3" t="n">
        <f aca="false">MONTH(B85)</f>
        <v>10</v>
      </c>
      <c r="D85" s="0" t="n">
        <v>20220012777</v>
      </c>
      <c r="E85" s="0" t="s">
        <v>79</v>
      </c>
      <c r="F85" s="0" t="s">
        <v>80</v>
      </c>
      <c r="G85" s="0" t="s">
        <v>81</v>
      </c>
      <c r="H85" s="0" t="s">
        <v>43</v>
      </c>
      <c r="I85" s="0" t="str">
        <f aca="false">VLOOKUP(H85,'rozdělení obchodníků'!B:D,3, )</f>
        <v>Praha</v>
      </c>
      <c r="J85" s="4" t="n">
        <v>600000</v>
      </c>
    </row>
    <row r="86" customFormat="false" ht="15" hidden="false" customHeight="false" outlineLevel="0" collapsed="false">
      <c r="B86" s="2" t="n">
        <v>45934</v>
      </c>
      <c r="C86" s="3" t="n">
        <f aca="false">MONTH(B86)</f>
        <v>10</v>
      </c>
      <c r="D86" s="0" t="n">
        <v>20220012780</v>
      </c>
      <c r="E86" s="0" t="s">
        <v>79</v>
      </c>
      <c r="F86" s="0" t="s">
        <v>80</v>
      </c>
      <c r="G86" s="0" t="s">
        <v>81</v>
      </c>
      <c r="H86" s="0" t="s">
        <v>43</v>
      </c>
      <c r="I86" s="0" t="str">
        <f aca="false">VLOOKUP(H86,'rozdělení obchodníků'!B:D,3, )</f>
        <v>Praha</v>
      </c>
      <c r="J86" s="4" t="n">
        <v>600000</v>
      </c>
    </row>
    <row r="87" customFormat="false" ht="15" hidden="false" customHeight="false" outlineLevel="0" collapsed="false">
      <c r="B87" s="2" t="n">
        <v>45934</v>
      </c>
      <c r="C87" s="3" t="n">
        <f aca="false">MONTH(B87)</f>
        <v>10</v>
      </c>
      <c r="D87" s="0" t="n">
        <v>20220012783</v>
      </c>
      <c r="E87" s="0" t="s">
        <v>79</v>
      </c>
      <c r="F87" s="0" t="s">
        <v>83</v>
      </c>
      <c r="G87" s="0" t="s">
        <v>81</v>
      </c>
      <c r="H87" s="0" t="s">
        <v>51</v>
      </c>
      <c r="I87" s="0" t="str">
        <f aca="false">VLOOKUP(H87,'rozdělení obchodníků'!B:D,3, )</f>
        <v>Praha</v>
      </c>
      <c r="J87" s="4" t="n">
        <v>1000000</v>
      </c>
    </row>
    <row r="88" customFormat="false" ht="15" hidden="false" customHeight="false" outlineLevel="0" collapsed="false">
      <c r="B88" s="2" t="n">
        <v>45934</v>
      </c>
      <c r="C88" s="3" t="n">
        <f aca="false">MONTH(B88)</f>
        <v>10</v>
      </c>
      <c r="D88" s="0" t="n">
        <v>20220012786</v>
      </c>
      <c r="E88" s="0" t="s">
        <v>79</v>
      </c>
      <c r="F88" s="0" t="s">
        <v>83</v>
      </c>
      <c r="G88" s="0" t="s">
        <v>81</v>
      </c>
      <c r="H88" s="0" t="s">
        <v>51</v>
      </c>
      <c r="I88" s="0" t="str">
        <f aca="false">VLOOKUP(H88,'rozdělení obchodníků'!B:D,3, )</f>
        <v>Praha</v>
      </c>
      <c r="J88" s="4" t="n">
        <v>100000</v>
      </c>
    </row>
    <row r="89" customFormat="false" ht="15" hidden="false" customHeight="false" outlineLevel="0" collapsed="false">
      <c r="B89" s="2" t="n">
        <v>45934</v>
      </c>
      <c r="C89" s="3" t="n">
        <f aca="false">MONTH(B89)</f>
        <v>10</v>
      </c>
      <c r="D89" s="0" t="n">
        <v>20220012789</v>
      </c>
      <c r="E89" s="0" t="s">
        <v>79</v>
      </c>
      <c r="F89" s="0" t="s">
        <v>83</v>
      </c>
      <c r="G89" s="0" t="s">
        <v>81</v>
      </c>
      <c r="H89" s="0" t="s">
        <v>17</v>
      </c>
      <c r="I89" s="0" t="str">
        <f aca="false">VLOOKUP(H89,'rozdělení obchodníků'!B:D,3, )</f>
        <v>Praha</v>
      </c>
      <c r="J89" s="4" t="n">
        <v>100000</v>
      </c>
    </row>
    <row r="90" customFormat="false" ht="15" hidden="false" customHeight="false" outlineLevel="0" collapsed="false">
      <c r="B90" s="2" t="n">
        <v>45934</v>
      </c>
      <c r="C90" s="3" t="n">
        <f aca="false">MONTH(B90)</f>
        <v>10</v>
      </c>
      <c r="D90" s="0" t="n">
        <v>20220012792</v>
      </c>
      <c r="E90" s="0" t="s">
        <v>79</v>
      </c>
      <c r="F90" s="0" t="s">
        <v>83</v>
      </c>
      <c r="G90" s="0" t="s">
        <v>81</v>
      </c>
      <c r="H90" s="0" t="s">
        <v>7</v>
      </c>
      <c r="I90" s="0" t="str">
        <f aca="false">VLOOKUP(H90,'rozdělení obchodníků'!B:D,3, )</f>
        <v>Praha</v>
      </c>
      <c r="J90" s="4" t="n">
        <v>1000000</v>
      </c>
    </row>
    <row r="91" customFormat="false" ht="15" hidden="false" customHeight="false" outlineLevel="0" collapsed="false">
      <c r="B91" s="2" t="n">
        <v>45934</v>
      </c>
      <c r="C91" s="3" t="n">
        <f aca="false">MONTH(B91)</f>
        <v>10</v>
      </c>
      <c r="D91" s="0" t="n">
        <v>20220012795</v>
      </c>
      <c r="E91" s="0" t="s">
        <v>79</v>
      </c>
      <c r="F91" s="0" t="s">
        <v>83</v>
      </c>
      <c r="G91" s="0" t="s">
        <v>84</v>
      </c>
      <c r="H91" s="0" t="s">
        <v>43</v>
      </c>
      <c r="I91" s="0" t="str">
        <f aca="false">VLOOKUP(H91,'rozdělení obchodníků'!B:D,3, )</f>
        <v>Praha</v>
      </c>
      <c r="J91" s="4" t="n">
        <v>250000</v>
      </c>
    </row>
    <row r="92" customFormat="false" ht="15" hidden="false" customHeight="false" outlineLevel="0" collapsed="false">
      <c r="B92" s="2" t="n">
        <v>45934</v>
      </c>
      <c r="C92" s="3" t="n">
        <f aca="false">MONTH(B92)</f>
        <v>10</v>
      </c>
      <c r="D92" s="0" t="n">
        <v>20220012798</v>
      </c>
      <c r="E92" s="0" t="s">
        <v>79</v>
      </c>
      <c r="F92" s="0" t="s">
        <v>83</v>
      </c>
      <c r="G92" s="0" t="s">
        <v>84</v>
      </c>
      <c r="H92" s="0" t="s">
        <v>43</v>
      </c>
      <c r="I92" s="0" t="str">
        <f aca="false">VLOOKUP(H92,'rozdělení obchodníků'!B:D,3, )</f>
        <v>Praha</v>
      </c>
      <c r="J92" s="4" t="n">
        <v>250000</v>
      </c>
    </row>
    <row r="93" customFormat="false" ht="15" hidden="false" customHeight="false" outlineLevel="0" collapsed="false">
      <c r="B93" s="2" t="n">
        <v>45934</v>
      </c>
      <c r="C93" s="3" t="n">
        <f aca="false">MONTH(B93)</f>
        <v>10</v>
      </c>
      <c r="D93" s="0" t="n">
        <v>20220012801</v>
      </c>
      <c r="E93" s="0" t="s">
        <v>79</v>
      </c>
      <c r="F93" s="0" t="s">
        <v>83</v>
      </c>
      <c r="G93" s="0" t="s">
        <v>81</v>
      </c>
      <c r="H93" s="0" t="s">
        <v>17</v>
      </c>
      <c r="I93" s="0" t="str">
        <f aca="false">VLOOKUP(H93,'rozdělení obchodníků'!B:D,3, )</f>
        <v>Praha</v>
      </c>
      <c r="J93" s="4" t="n">
        <v>100000</v>
      </c>
    </row>
    <row r="94" customFormat="false" ht="15" hidden="false" customHeight="false" outlineLevel="0" collapsed="false">
      <c r="B94" s="2" t="n">
        <v>45934</v>
      </c>
      <c r="C94" s="3" t="n">
        <f aca="false">MONTH(B94)</f>
        <v>10</v>
      </c>
      <c r="D94" s="0" t="n">
        <v>20220012804</v>
      </c>
      <c r="E94" s="0" t="s">
        <v>79</v>
      </c>
      <c r="F94" s="0" t="s">
        <v>83</v>
      </c>
      <c r="G94" s="0" t="s">
        <v>81</v>
      </c>
      <c r="H94" s="0" t="s">
        <v>51</v>
      </c>
      <c r="I94" s="0" t="str">
        <f aca="false">VLOOKUP(H94,'rozdělení obchodníků'!B:D,3, )</f>
        <v>Praha</v>
      </c>
      <c r="J94" s="4" t="n">
        <v>500000</v>
      </c>
    </row>
    <row r="95" customFormat="false" ht="15" hidden="false" customHeight="false" outlineLevel="0" collapsed="false">
      <c r="B95" s="2" t="n">
        <v>45934</v>
      </c>
      <c r="C95" s="3" t="n">
        <f aca="false">MONTH(B95)</f>
        <v>10</v>
      </c>
      <c r="D95" s="0" t="n">
        <v>20220012807</v>
      </c>
      <c r="E95" s="0" t="s">
        <v>79</v>
      </c>
      <c r="F95" s="0" t="s">
        <v>80</v>
      </c>
      <c r="G95" s="0" t="s">
        <v>84</v>
      </c>
      <c r="H95" s="0" t="s">
        <v>43</v>
      </c>
      <c r="I95" s="0" t="str">
        <f aca="false">VLOOKUP(H95,'rozdělení obchodníků'!B:D,3, )</f>
        <v>Praha</v>
      </c>
      <c r="J95" s="4" t="n">
        <v>600000</v>
      </c>
    </row>
    <row r="96" customFormat="false" ht="15" hidden="false" customHeight="false" outlineLevel="0" collapsed="false">
      <c r="B96" s="2" t="n">
        <v>45934</v>
      </c>
      <c r="C96" s="3" t="n">
        <f aca="false">MONTH(B96)</f>
        <v>10</v>
      </c>
      <c r="D96" s="0" t="n">
        <v>20220012810</v>
      </c>
      <c r="E96" s="0" t="s">
        <v>79</v>
      </c>
      <c r="F96" s="0" t="s">
        <v>80</v>
      </c>
      <c r="G96" s="0" t="s">
        <v>84</v>
      </c>
      <c r="H96" s="0" t="s">
        <v>43</v>
      </c>
      <c r="I96" s="0" t="str">
        <f aca="false">VLOOKUP(H96,'rozdělení obchodníků'!B:D,3, )</f>
        <v>Praha</v>
      </c>
      <c r="J96" s="4" t="n">
        <v>600000</v>
      </c>
    </row>
    <row r="97" customFormat="false" ht="15" hidden="false" customHeight="false" outlineLevel="0" collapsed="false">
      <c r="B97" s="2" t="n">
        <v>45934</v>
      </c>
      <c r="C97" s="3" t="n">
        <f aca="false">MONTH(B97)</f>
        <v>10</v>
      </c>
      <c r="D97" s="0" t="n">
        <v>20220012813</v>
      </c>
      <c r="E97" s="0" t="s">
        <v>79</v>
      </c>
      <c r="F97" s="0" t="s">
        <v>82</v>
      </c>
      <c r="G97" s="0" t="s">
        <v>81</v>
      </c>
      <c r="H97" s="0" t="s">
        <v>45</v>
      </c>
      <c r="I97" s="0" t="str">
        <f aca="false">VLOOKUP(H97,'rozdělení obchodníků'!B:D,3, )</f>
        <v>Čechy</v>
      </c>
      <c r="J97" s="4" t="n">
        <v>100000</v>
      </c>
    </row>
    <row r="98" customFormat="false" ht="15" hidden="false" customHeight="false" outlineLevel="0" collapsed="false">
      <c r="B98" s="2" t="n">
        <v>45934</v>
      </c>
      <c r="C98" s="3" t="n">
        <f aca="false">MONTH(B98)</f>
        <v>10</v>
      </c>
      <c r="D98" s="0" t="n">
        <v>20220012816</v>
      </c>
      <c r="E98" s="0" t="s">
        <v>79</v>
      </c>
      <c r="F98" s="0" t="s">
        <v>82</v>
      </c>
      <c r="G98" s="0" t="s">
        <v>81</v>
      </c>
      <c r="H98" s="0" t="s">
        <v>45</v>
      </c>
      <c r="I98" s="0" t="str">
        <f aca="false">VLOOKUP(H98,'rozdělení obchodníků'!B:D,3, )</f>
        <v>Čechy</v>
      </c>
      <c r="J98" s="4" t="n">
        <v>1000000</v>
      </c>
    </row>
    <row r="99" customFormat="false" ht="15" hidden="false" customHeight="false" outlineLevel="0" collapsed="false">
      <c r="B99" s="2" t="n">
        <v>45934</v>
      </c>
      <c r="C99" s="3" t="n">
        <f aca="false">MONTH(B99)</f>
        <v>10</v>
      </c>
      <c r="D99" s="0" t="n">
        <v>20220012819</v>
      </c>
      <c r="E99" s="0" t="s">
        <v>79</v>
      </c>
      <c r="F99" s="0" t="s">
        <v>82</v>
      </c>
      <c r="G99" s="0" t="s">
        <v>81</v>
      </c>
      <c r="H99" s="0" t="s">
        <v>45</v>
      </c>
      <c r="I99" s="0" t="str">
        <f aca="false">VLOOKUP(H99,'rozdělení obchodníků'!B:D,3, )</f>
        <v>Čechy</v>
      </c>
      <c r="J99" s="4" t="n">
        <v>1000000</v>
      </c>
    </row>
    <row r="100" customFormat="false" ht="15" hidden="false" customHeight="false" outlineLevel="0" collapsed="false">
      <c r="B100" s="2" t="n">
        <v>45934</v>
      </c>
      <c r="C100" s="3" t="n">
        <f aca="false">MONTH(B100)</f>
        <v>10</v>
      </c>
      <c r="D100" s="0" t="n">
        <v>20220012822</v>
      </c>
      <c r="E100" s="0" t="s">
        <v>79</v>
      </c>
      <c r="F100" s="0" t="s">
        <v>82</v>
      </c>
      <c r="G100" s="0" t="s">
        <v>81</v>
      </c>
      <c r="H100" s="0" t="s">
        <v>45</v>
      </c>
      <c r="I100" s="0" t="str">
        <f aca="false">VLOOKUP(H100,'rozdělení obchodníků'!B:D,3, )</f>
        <v>Čechy</v>
      </c>
      <c r="J100" s="4" t="n">
        <v>1000000</v>
      </c>
    </row>
    <row r="101" customFormat="false" ht="15" hidden="false" customHeight="false" outlineLevel="0" collapsed="false">
      <c r="B101" s="2" t="n">
        <v>45934</v>
      </c>
      <c r="C101" s="3" t="n">
        <f aca="false">MONTH(B101)</f>
        <v>10</v>
      </c>
      <c r="D101" s="0" t="n">
        <v>20220012825</v>
      </c>
      <c r="E101" s="0" t="s">
        <v>79</v>
      </c>
      <c r="F101" s="0" t="s">
        <v>83</v>
      </c>
      <c r="G101" s="0" t="s">
        <v>81</v>
      </c>
      <c r="H101" s="0" t="s">
        <v>7</v>
      </c>
      <c r="I101" s="0" t="str">
        <f aca="false">VLOOKUP(H101,'rozdělení obchodníků'!B:D,3, )</f>
        <v>Praha</v>
      </c>
      <c r="J101" s="4" t="n">
        <v>1000000</v>
      </c>
    </row>
    <row r="102" customFormat="false" ht="15" hidden="false" customHeight="false" outlineLevel="0" collapsed="false">
      <c r="B102" s="2" t="n">
        <v>45934</v>
      </c>
      <c r="C102" s="3" t="n">
        <f aca="false">MONTH(B102)</f>
        <v>10</v>
      </c>
      <c r="D102" s="0" t="n">
        <v>20220012828</v>
      </c>
      <c r="E102" s="0" t="s">
        <v>79</v>
      </c>
      <c r="F102" s="0" t="s">
        <v>83</v>
      </c>
      <c r="G102" s="0" t="s">
        <v>84</v>
      </c>
      <c r="H102" s="0" t="s">
        <v>37</v>
      </c>
      <c r="I102" s="0" t="str">
        <f aca="false">VLOOKUP(H102,'rozdělení obchodníků'!B:D,3, )</f>
        <v>Morava</v>
      </c>
      <c r="J102" s="4" t="n">
        <v>100000</v>
      </c>
    </row>
    <row r="103" customFormat="false" ht="15" hidden="false" customHeight="false" outlineLevel="0" collapsed="false">
      <c r="B103" s="2" t="n">
        <v>45934</v>
      </c>
      <c r="C103" s="3" t="n">
        <f aca="false">MONTH(B103)</f>
        <v>10</v>
      </c>
      <c r="D103" s="0" t="n">
        <v>20220012831</v>
      </c>
      <c r="E103" s="0" t="s">
        <v>79</v>
      </c>
      <c r="F103" s="0" t="s">
        <v>83</v>
      </c>
      <c r="G103" s="0" t="s">
        <v>81</v>
      </c>
      <c r="H103" s="0" t="s">
        <v>29</v>
      </c>
      <c r="I103" s="0" t="str">
        <f aca="false">VLOOKUP(H103,'rozdělení obchodníků'!B:D,3, )</f>
        <v>Čechy</v>
      </c>
      <c r="J103" s="4" t="n">
        <v>250000</v>
      </c>
    </row>
    <row r="104" customFormat="false" ht="15" hidden="false" customHeight="false" outlineLevel="0" collapsed="false">
      <c r="B104" s="2" t="n">
        <v>45934</v>
      </c>
      <c r="C104" s="3" t="n">
        <f aca="false">MONTH(B104)</f>
        <v>10</v>
      </c>
      <c r="D104" s="0" t="n">
        <v>20220012834</v>
      </c>
      <c r="E104" s="0" t="s">
        <v>79</v>
      </c>
      <c r="F104" s="0" t="s">
        <v>83</v>
      </c>
      <c r="G104" s="0" t="s">
        <v>81</v>
      </c>
      <c r="H104" s="0" t="s">
        <v>29</v>
      </c>
      <c r="I104" s="0" t="str">
        <f aca="false">VLOOKUP(H104,'rozdělení obchodníků'!B:D,3, )</f>
        <v>Čechy</v>
      </c>
      <c r="J104" s="4" t="n">
        <v>250000</v>
      </c>
    </row>
    <row r="105" customFormat="false" ht="15" hidden="false" customHeight="false" outlineLevel="0" collapsed="false">
      <c r="B105" s="2" t="n">
        <v>45934</v>
      </c>
      <c r="C105" s="3" t="n">
        <f aca="false">MONTH(B105)</f>
        <v>10</v>
      </c>
      <c r="D105" s="0" t="n">
        <v>20220012837</v>
      </c>
      <c r="E105" s="0" t="s">
        <v>79</v>
      </c>
      <c r="F105" s="0" t="s">
        <v>82</v>
      </c>
      <c r="G105" s="0" t="s">
        <v>81</v>
      </c>
      <c r="H105" s="0" t="s">
        <v>23</v>
      </c>
      <c r="I105" s="0" t="str">
        <f aca="false">VLOOKUP(H105,'rozdělení obchodníků'!B:D,3, )</f>
        <v>Čechy</v>
      </c>
      <c r="J105" s="4" t="n">
        <v>1000000</v>
      </c>
    </row>
    <row r="106" customFormat="false" ht="15" hidden="false" customHeight="false" outlineLevel="0" collapsed="false">
      <c r="B106" s="2" t="n">
        <v>45934</v>
      </c>
      <c r="C106" s="3" t="n">
        <f aca="false">MONTH(B106)</f>
        <v>10</v>
      </c>
      <c r="D106" s="0" t="n">
        <v>20220012840</v>
      </c>
      <c r="E106" s="0" t="s">
        <v>79</v>
      </c>
      <c r="F106" s="0" t="s">
        <v>82</v>
      </c>
      <c r="G106" s="0" t="s">
        <v>81</v>
      </c>
      <c r="H106" s="0" t="s">
        <v>23</v>
      </c>
      <c r="I106" s="0" t="str">
        <f aca="false">VLOOKUP(H106,'rozdělení obchodníků'!B:D,3, )</f>
        <v>Čechy</v>
      </c>
      <c r="J106" s="4" t="n">
        <v>100000</v>
      </c>
    </row>
    <row r="107" customFormat="false" ht="15" hidden="false" customHeight="false" outlineLevel="0" collapsed="false">
      <c r="B107" s="2" t="n">
        <v>45934</v>
      </c>
      <c r="C107" s="3" t="n">
        <f aca="false">MONTH(B107)</f>
        <v>10</v>
      </c>
      <c r="D107" s="0" t="n">
        <v>20220012843</v>
      </c>
      <c r="E107" s="0" t="s">
        <v>79</v>
      </c>
      <c r="F107" s="0" t="s">
        <v>80</v>
      </c>
      <c r="G107" s="0" t="s">
        <v>81</v>
      </c>
      <c r="H107" s="0" t="s">
        <v>43</v>
      </c>
      <c r="I107" s="0" t="str">
        <f aca="false">VLOOKUP(H107,'rozdělení obchodníků'!B:D,3, )</f>
        <v>Praha</v>
      </c>
      <c r="J107" s="4" t="n">
        <v>1250000</v>
      </c>
    </row>
    <row r="108" customFormat="false" ht="15" hidden="false" customHeight="false" outlineLevel="0" collapsed="false">
      <c r="B108" s="2" t="n">
        <v>45934</v>
      </c>
      <c r="C108" s="3" t="n">
        <f aca="false">MONTH(B108)</f>
        <v>10</v>
      </c>
      <c r="D108" s="0" t="n">
        <v>20220012846</v>
      </c>
      <c r="E108" s="0" t="s">
        <v>79</v>
      </c>
      <c r="F108" s="0" t="s">
        <v>80</v>
      </c>
      <c r="G108" s="0" t="s">
        <v>81</v>
      </c>
      <c r="H108" s="0" t="s">
        <v>43</v>
      </c>
      <c r="I108" s="0" t="str">
        <f aca="false">VLOOKUP(H108,'rozdělení obchodníků'!B:D,3, )</f>
        <v>Praha</v>
      </c>
      <c r="J108" s="4" t="n">
        <v>250000</v>
      </c>
    </row>
    <row r="109" customFormat="false" ht="15" hidden="false" customHeight="false" outlineLevel="0" collapsed="false">
      <c r="B109" s="2" t="n">
        <v>45934</v>
      </c>
      <c r="C109" s="3" t="n">
        <f aca="false">MONTH(B109)</f>
        <v>10</v>
      </c>
      <c r="D109" s="0" t="n">
        <v>20220012849</v>
      </c>
      <c r="E109" s="0" t="s">
        <v>79</v>
      </c>
      <c r="F109" s="0" t="s">
        <v>83</v>
      </c>
      <c r="G109" s="0" t="s">
        <v>81</v>
      </c>
      <c r="H109" s="0" t="s">
        <v>39</v>
      </c>
      <c r="I109" s="0" t="str">
        <f aca="false">VLOOKUP(H109,'rozdělení obchodníků'!B:D,3, )</f>
        <v>Morava</v>
      </c>
      <c r="J109" s="4" t="n">
        <v>600000</v>
      </c>
    </row>
    <row r="110" customFormat="false" ht="15" hidden="false" customHeight="false" outlineLevel="0" collapsed="false">
      <c r="B110" s="2" t="n">
        <v>45934</v>
      </c>
      <c r="C110" s="3" t="n">
        <f aca="false">MONTH(B110)</f>
        <v>10</v>
      </c>
      <c r="D110" s="0" t="n">
        <v>20220012852</v>
      </c>
      <c r="E110" s="0" t="s">
        <v>79</v>
      </c>
      <c r="F110" s="0" t="s">
        <v>83</v>
      </c>
      <c r="G110" s="0" t="s">
        <v>81</v>
      </c>
      <c r="H110" s="0" t="s">
        <v>45</v>
      </c>
      <c r="I110" s="0" t="str">
        <f aca="false">VLOOKUP(H110,'rozdělení obchodníků'!B:D,3, )</f>
        <v>Čechy</v>
      </c>
      <c r="J110" s="4" t="n">
        <v>600000</v>
      </c>
    </row>
    <row r="111" customFormat="false" ht="15" hidden="false" customHeight="false" outlineLevel="0" collapsed="false">
      <c r="B111" s="2" t="n">
        <v>45934</v>
      </c>
      <c r="C111" s="3" t="n">
        <f aca="false">MONTH(B111)</f>
        <v>10</v>
      </c>
      <c r="D111" s="0" t="n">
        <v>20220012855</v>
      </c>
      <c r="E111" s="0" t="s">
        <v>79</v>
      </c>
      <c r="F111" s="0" t="s">
        <v>82</v>
      </c>
      <c r="G111" s="0" t="s">
        <v>81</v>
      </c>
      <c r="H111" s="0" t="s">
        <v>45</v>
      </c>
      <c r="I111" s="0" t="str">
        <f aca="false">VLOOKUP(H111,'rozdělení obchodníků'!B:D,3, )</f>
        <v>Čechy</v>
      </c>
      <c r="J111" s="4" t="n">
        <v>1000000</v>
      </c>
    </row>
    <row r="112" customFormat="false" ht="15" hidden="false" customHeight="false" outlineLevel="0" collapsed="false">
      <c r="B112" s="2" t="n">
        <v>45934</v>
      </c>
      <c r="C112" s="3" t="n">
        <f aca="false">MONTH(B112)</f>
        <v>10</v>
      </c>
      <c r="D112" s="0" t="n">
        <v>20220012858</v>
      </c>
      <c r="E112" s="0" t="s">
        <v>79</v>
      </c>
      <c r="F112" s="0" t="s">
        <v>82</v>
      </c>
      <c r="G112" s="0" t="s">
        <v>81</v>
      </c>
      <c r="H112" s="0" t="s">
        <v>45</v>
      </c>
      <c r="I112" s="0" t="str">
        <f aca="false">VLOOKUP(H112,'rozdělení obchodníků'!B:D,3, )</f>
        <v>Čechy</v>
      </c>
      <c r="J112" s="4" t="n">
        <v>100000</v>
      </c>
    </row>
    <row r="113" customFormat="false" ht="15" hidden="false" customHeight="false" outlineLevel="0" collapsed="false">
      <c r="B113" s="2" t="n">
        <v>45934</v>
      </c>
      <c r="C113" s="3" t="n">
        <f aca="false">MONTH(B113)</f>
        <v>10</v>
      </c>
      <c r="D113" s="0" t="n">
        <v>20220012861</v>
      </c>
      <c r="E113" s="0" t="s">
        <v>79</v>
      </c>
      <c r="F113" s="0" t="s">
        <v>82</v>
      </c>
      <c r="G113" s="0" t="s">
        <v>81</v>
      </c>
      <c r="H113" s="0" t="s">
        <v>37</v>
      </c>
      <c r="I113" s="0" t="str">
        <f aca="false">VLOOKUP(H113,'rozdělení obchodníků'!B:D,3, )</f>
        <v>Morava</v>
      </c>
      <c r="J113" s="4" t="n">
        <v>100000</v>
      </c>
    </row>
    <row r="114" customFormat="false" ht="15" hidden="false" customHeight="false" outlineLevel="0" collapsed="false">
      <c r="B114" s="2" t="n">
        <v>45934</v>
      </c>
      <c r="C114" s="3" t="n">
        <f aca="false">MONTH(B114)</f>
        <v>10</v>
      </c>
      <c r="D114" s="0" t="n">
        <v>20220012864</v>
      </c>
      <c r="E114" s="0" t="s">
        <v>79</v>
      </c>
      <c r="F114" s="0" t="s">
        <v>82</v>
      </c>
      <c r="G114" s="0" t="s">
        <v>81</v>
      </c>
      <c r="H114" s="0" t="s">
        <v>37</v>
      </c>
      <c r="I114" s="0" t="str">
        <f aca="false">VLOOKUP(H114,'rozdělení obchodníků'!B:D,3, )</f>
        <v>Morava</v>
      </c>
      <c r="J114" s="4" t="n">
        <v>100000</v>
      </c>
    </row>
    <row r="115" customFormat="false" ht="15" hidden="false" customHeight="false" outlineLevel="0" collapsed="false">
      <c r="B115" s="2" t="n">
        <v>45934</v>
      </c>
      <c r="C115" s="3" t="n">
        <f aca="false">MONTH(B115)</f>
        <v>10</v>
      </c>
      <c r="D115" s="0" t="n">
        <v>20220012867</v>
      </c>
      <c r="E115" s="0" t="s">
        <v>79</v>
      </c>
      <c r="F115" s="0" t="s">
        <v>82</v>
      </c>
      <c r="G115" s="0" t="s">
        <v>84</v>
      </c>
      <c r="H115" s="0" t="s">
        <v>15</v>
      </c>
      <c r="I115" s="0" t="str">
        <f aca="false">VLOOKUP(H115,'rozdělení obchodníků'!B:D,3, )</f>
        <v>Morava</v>
      </c>
      <c r="J115" s="4" t="n">
        <v>1250000</v>
      </c>
    </row>
    <row r="116" customFormat="false" ht="15" hidden="false" customHeight="false" outlineLevel="0" collapsed="false">
      <c r="B116" s="2" t="n">
        <v>45934</v>
      </c>
      <c r="C116" s="3" t="n">
        <f aca="false">MONTH(B116)</f>
        <v>10</v>
      </c>
      <c r="D116" s="0" t="n">
        <v>20220012870</v>
      </c>
      <c r="E116" s="0" t="s">
        <v>79</v>
      </c>
      <c r="F116" s="0" t="s">
        <v>82</v>
      </c>
      <c r="G116" s="0" t="s">
        <v>84</v>
      </c>
      <c r="H116" s="0" t="s">
        <v>15</v>
      </c>
      <c r="I116" s="0" t="str">
        <f aca="false">VLOOKUP(H116,'rozdělení obchodníků'!B:D,3, )</f>
        <v>Morava</v>
      </c>
      <c r="J116" s="4" t="n">
        <v>250000</v>
      </c>
    </row>
    <row r="117" customFormat="false" ht="15" hidden="false" customHeight="false" outlineLevel="0" collapsed="false">
      <c r="B117" s="2" t="n">
        <v>45934</v>
      </c>
      <c r="C117" s="3" t="n">
        <f aca="false">MONTH(B117)</f>
        <v>10</v>
      </c>
      <c r="D117" s="0" t="n">
        <v>20220012873</v>
      </c>
      <c r="E117" s="0" t="s">
        <v>79</v>
      </c>
      <c r="F117" s="0" t="s">
        <v>82</v>
      </c>
      <c r="G117" s="0" t="s">
        <v>81</v>
      </c>
      <c r="H117" s="0" t="s">
        <v>37</v>
      </c>
      <c r="I117" s="0" t="str">
        <f aca="false">VLOOKUP(H117,'rozdělení obchodníků'!B:D,3, )</f>
        <v>Morava</v>
      </c>
      <c r="J117" s="4" t="n">
        <v>1000000</v>
      </c>
    </row>
    <row r="118" customFormat="false" ht="15" hidden="false" customHeight="false" outlineLevel="0" collapsed="false">
      <c r="B118" s="2" t="n">
        <v>45934</v>
      </c>
      <c r="C118" s="3" t="n">
        <f aca="false">MONTH(B118)</f>
        <v>10</v>
      </c>
      <c r="D118" s="0" t="n">
        <v>20220012876</v>
      </c>
      <c r="E118" s="0" t="s">
        <v>79</v>
      </c>
      <c r="F118" s="0" t="s">
        <v>82</v>
      </c>
      <c r="G118" s="0" t="s">
        <v>81</v>
      </c>
      <c r="H118" s="0" t="s">
        <v>37</v>
      </c>
      <c r="I118" s="0" t="str">
        <f aca="false">VLOOKUP(H118,'rozdělení obchodníků'!B:D,3, )</f>
        <v>Morava</v>
      </c>
      <c r="J118" s="4" t="n">
        <v>100000</v>
      </c>
    </row>
    <row r="119" customFormat="false" ht="15" hidden="false" customHeight="false" outlineLevel="0" collapsed="false">
      <c r="B119" s="2" t="n">
        <v>45934</v>
      </c>
      <c r="C119" s="3" t="n">
        <f aca="false">MONTH(B119)</f>
        <v>10</v>
      </c>
      <c r="D119" s="0" t="n">
        <v>20220012879</v>
      </c>
      <c r="E119" s="0" t="s">
        <v>79</v>
      </c>
      <c r="F119" s="0" t="s">
        <v>83</v>
      </c>
      <c r="G119" s="0" t="s">
        <v>81</v>
      </c>
      <c r="H119" s="0" t="s">
        <v>37</v>
      </c>
      <c r="I119" s="0" t="str">
        <f aca="false">VLOOKUP(H119,'rozdělení obchodníků'!B:D,3, )</f>
        <v>Morava</v>
      </c>
      <c r="J119" s="4" t="n">
        <v>100000</v>
      </c>
    </row>
    <row r="120" customFormat="false" ht="15" hidden="false" customHeight="false" outlineLevel="0" collapsed="false">
      <c r="B120" s="2" t="n">
        <v>45934</v>
      </c>
      <c r="C120" s="3" t="n">
        <f aca="false">MONTH(B120)</f>
        <v>10</v>
      </c>
      <c r="D120" s="0" t="n">
        <v>20220012882</v>
      </c>
      <c r="E120" s="0" t="s">
        <v>79</v>
      </c>
      <c r="F120" s="0" t="s">
        <v>83</v>
      </c>
      <c r="G120" s="0" t="s">
        <v>81</v>
      </c>
      <c r="H120" s="0" t="s">
        <v>37</v>
      </c>
      <c r="I120" s="0" t="str">
        <f aca="false">VLOOKUP(H120,'rozdělení obchodníků'!B:D,3, )</f>
        <v>Morava</v>
      </c>
      <c r="J120" s="4" t="n">
        <v>100000</v>
      </c>
    </row>
    <row r="121" customFormat="false" ht="15" hidden="false" customHeight="false" outlineLevel="0" collapsed="false">
      <c r="B121" s="2" t="n">
        <v>45934</v>
      </c>
      <c r="C121" s="3" t="n">
        <f aca="false">MONTH(B121)</f>
        <v>10</v>
      </c>
      <c r="D121" s="0" t="n">
        <v>20220012885</v>
      </c>
      <c r="E121" s="0" t="s">
        <v>79</v>
      </c>
      <c r="F121" s="0" t="s">
        <v>80</v>
      </c>
      <c r="G121" s="0" t="s">
        <v>81</v>
      </c>
      <c r="H121" s="0" t="s">
        <v>15</v>
      </c>
      <c r="I121" s="0" t="str">
        <f aca="false">VLOOKUP(H121,'rozdělení obchodníků'!B:D,3, )</f>
        <v>Morava</v>
      </c>
      <c r="J121" s="4" t="n">
        <v>250000</v>
      </c>
    </row>
    <row r="122" customFormat="false" ht="15" hidden="false" customHeight="false" outlineLevel="0" collapsed="false">
      <c r="B122" s="2" t="n">
        <v>45934</v>
      </c>
      <c r="C122" s="3" t="n">
        <f aca="false">MONTH(B122)</f>
        <v>10</v>
      </c>
      <c r="D122" s="0" t="n">
        <v>20220012888</v>
      </c>
      <c r="E122" s="0" t="s">
        <v>79</v>
      </c>
      <c r="F122" s="0" t="s">
        <v>80</v>
      </c>
      <c r="G122" s="0" t="s">
        <v>81</v>
      </c>
      <c r="H122" s="0" t="s">
        <v>15</v>
      </c>
      <c r="I122" s="0" t="str">
        <f aca="false">VLOOKUP(H122,'rozdělení obchodníků'!B:D,3, )</f>
        <v>Morava</v>
      </c>
      <c r="J122" s="4" t="n">
        <v>250000</v>
      </c>
    </row>
    <row r="123" customFormat="false" ht="15" hidden="false" customHeight="false" outlineLevel="0" collapsed="false">
      <c r="B123" s="2" t="n">
        <v>45934</v>
      </c>
      <c r="C123" s="3" t="n">
        <f aca="false">MONTH(B123)</f>
        <v>10</v>
      </c>
      <c r="D123" s="0" t="n">
        <v>20220012891</v>
      </c>
      <c r="E123" s="0" t="s">
        <v>79</v>
      </c>
      <c r="F123" s="0" t="s">
        <v>83</v>
      </c>
      <c r="G123" s="0" t="s">
        <v>81</v>
      </c>
      <c r="H123" s="0" t="s">
        <v>43</v>
      </c>
      <c r="I123" s="0" t="str">
        <f aca="false">VLOOKUP(H123,'rozdělení obchodníků'!B:D,3, )</f>
        <v>Praha</v>
      </c>
      <c r="J123" s="4" t="n">
        <v>1500000</v>
      </c>
    </row>
    <row r="124" customFormat="false" ht="15" hidden="false" customHeight="false" outlineLevel="0" collapsed="false">
      <c r="B124" s="2" t="n">
        <v>45934</v>
      </c>
      <c r="C124" s="3" t="n">
        <f aca="false">MONTH(B124)</f>
        <v>10</v>
      </c>
      <c r="D124" s="0" t="n">
        <v>20220012894</v>
      </c>
      <c r="E124" s="0" t="s">
        <v>79</v>
      </c>
      <c r="F124" s="0" t="s">
        <v>83</v>
      </c>
      <c r="G124" s="0" t="s">
        <v>81</v>
      </c>
      <c r="H124" s="0" t="s">
        <v>43</v>
      </c>
      <c r="I124" s="0" t="str">
        <f aca="false">VLOOKUP(H124,'rozdělení obchodníků'!B:D,3, )</f>
        <v>Praha</v>
      </c>
      <c r="J124" s="4" t="n">
        <v>100000</v>
      </c>
    </row>
    <row r="125" customFormat="false" ht="15" hidden="false" customHeight="false" outlineLevel="0" collapsed="false">
      <c r="B125" s="2" t="n">
        <v>45934</v>
      </c>
      <c r="C125" s="3" t="n">
        <f aca="false">MONTH(B125)</f>
        <v>10</v>
      </c>
      <c r="D125" s="0" t="n">
        <v>20220012897</v>
      </c>
      <c r="E125" s="0" t="s">
        <v>79</v>
      </c>
      <c r="F125" s="0" t="s">
        <v>80</v>
      </c>
      <c r="G125" s="0" t="s">
        <v>84</v>
      </c>
      <c r="H125" s="0" t="s">
        <v>7</v>
      </c>
      <c r="I125" s="0" t="str">
        <f aca="false">VLOOKUP(H125,'rozdělení obchodníků'!B:D,3, )</f>
        <v>Praha</v>
      </c>
      <c r="J125" s="4" t="n">
        <v>1000000</v>
      </c>
    </row>
    <row r="126" customFormat="false" ht="15" hidden="false" customHeight="false" outlineLevel="0" collapsed="false">
      <c r="B126" s="2" t="n">
        <v>45934</v>
      </c>
      <c r="C126" s="3" t="n">
        <f aca="false">MONTH(B126)</f>
        <v>10</v>
      </c>
      <c r="D126" s="0" t="n">
        <v>20220012900</v>
      </c>
      <c r="E126" s="0" t="s">
        <v>79</v>
      </c>
      <c r="F126" s="0" t="s">
        <v>80</v>
      </c>
      <c r="G126" s="0" t="s">
        <v>84</v>
      </c>
      <c r="H126" s="0" t="s">
        <v>65</v>
      </c>
      <c r="I126" s="0" t="str">
        <f aca="false">VLOOKUP(H126,'rozdělení obchodníků'!B:D,3, )</f>
        <v>Praha</v>
      </c>
      <c r="J126" s="4" t="n">
        <v>1000000</v>
      </c>
    </row>
    <row r="127" customFormat="false" ht="15" hidden="false" customHeight="false" outlineLevel="0" collapsed="false">
      <c r="B127" s="2" t="n">
        <v>45934</v>
      </c>
      <c r="C127" s="3" t="n">
        <f aca="false">MONTH(B127)</f>
        <v>10</v>
      </c>
      <c r="D127" s="0" t="n">
        <v>20220012903</v>
      </c>
      <c r="E127" s="0" t="s">
        <v>79</v>
      </c>
      <c r="F127" s="0" t="s">
        <v>83</v>
      </c>
      <c r="G127" s="0" t="s">
        <v>84</v>
      </c>
      <c r="H127" s="0" t="s">
        <v>65</v>
      </c>
      <c r="I127" s="0" t="str">
        <f aca="false">VLOOKUP(H127,'rozdělení obchodníků'!B:D,3, )</f>
        <v>Praha</v>
      </c>
      <c r="J127" s="4" t="n">
        <v>100000</v>
      </c>
    </row>
    <row r="128" customFormat="false" ht="15" hidden="false" customHeight="false" outlineLevel="0" collapsed="false">
      <c r="B128" s="2" t="n">
        <v>45934</v>
      </c>
      <c r="C128" s="3" t="n">
        <f aca="false">MONTH(B128)</f>
        <v>10</v>
      </c>
      <c r="D128" s="0" t="n">
        <v>20220012906</v>
      </c>
      <c r="E128" s="0" t="s">
        <v>79</v>
      </c>
      <c r="F128" s="0" t="s">
        <v>83</v>
      </c>
      <c r="G128" s="0" t="s">
        <v>84</v>
      </c>
      <c r="H128" s="0" t="s">
        <v>51</v>
      </c>
      <c r="I128" s="0" t="str">
        <f aca="false">VLOOKUP(H128,'rozdělení obchodníků'!B:D,3, )</f>
        <v>Praha</v>
      </c>
      <c r="J128" s="4" t="n">
        <v>100000</v>
      </c>
    </row>
    <row r="129" customFormat="false" ht="15" hidden="false" customHeight="false" outlineLevel="0" collapsed="false">
      <c r="B129" s="2" t="n">
        <v>45934</v>
      </c>
      <c r="C129" s="3" t="n">
        <f aca="false">MONTH(B129)</f>
        <v>10</v>
      </c>
      <c r="D129" s="0" t="n">
        <v>20220012909</v>
      </c>
      <c r="E129" s="0" t="s">
        <v>79</v>
      </c>
      <c r="F129" s="0" t="s">
        <v>83</v>
      </c>
      <c r="G129" s="0" t="s">
        <v>81</v>
      </c>
      <c r="H129" s="0" t="s">
        <v>25</v>
      </c>
      <c r="I129" s="0" t="str">
        <f aca="false">VLOOKUP(H129,'rozdělení obchodníků'!B:D,3, )</f>
        <v>Praha</v>
      </c>
      <c r="J129" s="4" t="n">
        <v>100000</v>
      </c>
    </row>
    <row r="130" customFormat="false" ht="15" hidden="false" customHeight="false" outlineLevel="0" collapsed="false">
      <c r="B130" s="2" t="n">
        <v>45934</v>
      </c>
      <c r="C130" s="3" t="n">
        <f aca="false">MONTH(B130)</f>
        <v>10</v>
      </c>
      <c r="D130" s="0" t="n">
        <v>20220012912</v>
      </c>
      <c r="E130" s="0" t="s">
        <v>79</v>
      </c>
      <c r="F130" s="0" t="s">
        <v>83</v>
      </c>
      <c r="G130" s="0" t="s">
        <v>81</v>
      </c>
      <c r="H130" s="0" t="s">
        <v>25</v>
      </c>
      <c r="I130" s="0" t="str">
        <f aca="false">VLOOKUP(H130,'rozdělení obchodníků'!B:D,3, )</f>
        <v>Praha</v>
      </c>
      <c r="J130" s="4" t="n">
        <v>1000000</v>
      </c>
    </row>
    <row r="131" customFormat="false" ht="15" hidden="false" customHeight="false" outlineLevel="0" collapsed="false">
      <c r="B131" s="2" t="n">
        <v>45934</v>
      </c>
      <c r="C131" s="3" t="n">
        <f aca="false">MONTH(B131)</f>
        <v>10</v>
      </c>
      <c r="D131" s="0" t="n">
        <v>20220012915</v>
      </c>
      <c r="E131" s="0" t="s">
        <v>79</v>
      </c>
      <c r="F131" s="0" t="s">
        <v>80</v>
      </c>
      <c r="G131" s="0" t="s">
        <v>84</v>
      </c>
      <c r="H131" s="0" t="s">
        <v>25</v>
      </c>
      <c r="I131" s="0" t="str">
        <f aca="false">VLOOKUP(H131,'rozdělení obchodníků'!B:D,3, )</f>
        <v>Praha</v>
      </c>
      <c r="J131" s="4" t="n">
        <v>100000</v>
      </c>
    </row>
    <row r="132" customFormat="false" ht="15" hidden="false" customHeight="false" outlineLevel="0" collapsed="false">
      <c r="B132" s="2" t="n">
        <v>45934</v>
      </c>
      <c r="C132" s="3" t="n">
        <f aca="false">MONTH(B132)</f>
        <v>10</v>
      </c>
      <c r="D132" s="0" t="n">
        <v>20220012918</v>
      </c>
      <c r="E132" s="0" t="s">
        <v>79</v>
      </c>
      <c r="F132" s="0" t="s">
        <v>80</v>
      </c>
      <c r="G132" s="0" t="s">
        <v>84</v>
      </c>
      <c r="H132" s="0" t="s">
        <v>25</v>
      </c>
      <c r="I132" s="0" t="str">
        <f aca="false">VLOOKUP(H132,'rozdělení obchodníků'!B:D,3, )</f>
        <v>Praha</v>
      </c>
      <c r="J132" s="4" t="n">
        <v>100000</v>
      </c>
    </row>
    <row r="133" customFormat="false" ht="15" hidden="false" customHeight="false" outlineLevel="0" collapsed="false">
      <c r="B133" s="2" t="n">
        <v>45934</v>
      </c>
      <c r="C133" s="3" t="n">
        <f aca="false">MONTH(B133)</f>
        <v>10</v>
      </c>
      <c r="D133" s="0" t="n">
        <v>20220012921</v>
      </c>
      <c r="E133" s="0" t="s">
        <v>79</v>
      </c>
      <c r="F133" s="0" t="s">
        <v>82</v>
      </c>
      <c r="G133" s="0" t="s">
        <v>81</v>
      </c>
      <c r="H133" s="0" t="s">
        <v>25</v>
      </c>
      <c r="I133" s="0" t="str">
        <f aca="false">VLOOKUP(H133,'rozdělení obchodníků'!B:D,3, )</f>
        <v>Praha</v>
      </c>
      <c r="J133" s="4" t="n">
        <v>1000000</v>
      </c>
    </row>
    <row r="134" customFormat="false" ht="15" hidden="false" customHeight="false" outlineLevel="0" collapsed="false">
      <c r="B134" s="2" t="n">
        <v>45934</v>
      </c>
      <c r="C134" s="3" t="n">
        <f aca="false">MONTH(B134)</f>
        <v>10</v>
      </c>
      <c r="D134" s="0" t="n">
        <v>20220012924</v>
      </c>
      <c r="E134" s="0" t="s">
        <v>79</v>
      </c>
      <c r="F134" s="0" t="s">
        <v>82</v>
      </c>
      <c r="G134" s="0" t="s">
        <v>81</v>
      </c>
      <c r="H134" s="0" t="s">
        <v>25</v>
      </c>
      <c r="I134" s="0" t="str">
        <f aca="false">VLOOKUP(H134,'rozdělení obchodníků'!B:D,3, )</f>
        <v>Praha</v>
      </c>
      <c r="J134" s="4" t="n">
        <v>1000000</v>
      </c>
    </row>
    <row r="135" customFormat="false" ht="15" hidden="false" customHeight="false" outlineLevel="0" collapsed="false">
      <c r="B135" s="2" t="n">
        <v>45934</v>
      </c>
      <c r="C135" s="3" t="n">
        <f aca="false">MONTH(B135)</f>
        <v>10</v>
      </c>
      <c r="D135" s="0" t="n">
        <v>20220012927</v>
      </c>
      <c r="E135" s="0" t="s">
        <v>79</v>
      </c>
      <c r="F135" s="0" t="s">
        <v>82</v>
      </c>
      <c r="G135" s="0" t="s">
        <v>81</v>
      </c>
      <c r="H135" s="0" t="s">
        <v>25</v>
      </c>
      <c r="I135" s="0" t="str">
        <f aca="false">VLOOKUP(H135,'rozdělení obchodníků'!B:D,3, )</f>
        <v>Praha</v>
      </c>
      <c r="J135" s="4" t="n">
        <v>100000</v>
      </c>
    </row>
    <row r="136" customFormat="false" ht="15" hidden="false" customHeight="false" outlineLevel="0" collapsed="false">
      <c r="B136" s="2" t="n">
        <v>45934</v>
      </c>
      <c r="C136" s="3" t="n">
        <f aca="false">MONTH(B136)</f>
        <v>10</v>
      </c>
      <c r="D136" s="0" t="n">
        <v>20220012930</v>
      </c>
      <c r="E136" s="0" t="s">
        <v>79</v>
      </c>
      <c r="F136" s="0" t="s">
        <v>82</v>
      </c>
      <c r="G136" s="0" t="s">
        <v>81</v>
      </c>
      <c r="H136" s="0" t="s">
        <v>25</v>
      </c>
      <c r="I136" s="0" t="str">
        <f aca="false">VLOOKUP(H136,'rozdělení obchodníků'!B:D,3, )</f>
        <v>Praha</v>
      </c>
      <c r="J136" s="4" t="n">
        <v>1000000</v>
      </c>
    </row>
    <row r="137" customFormat="false" ht="15" hidden="false" customHeight="false" outlineLevel="0" collapsed="false">
      <c r="B137" s="2" t="n">
        <v>45934</v>
      </c>
      <c r="C137" s="3" t="n">
        <f aca="false">MONTH(B137)</f>
        <v>10</v>
      </c>
      <c r="D137" s="0" t="n">
        <v>20220012933</v>
      </c>
      <c r="E137" s="0" t="s">
        <v>79</v>
      </c>
      <c r="F137" s="0" t="s">
        <v>82</v>
      </c>
      <c r="G137" s="0" t="s">
        <v>81</v>
      </c>
      <c r="H137" s="0" t="s">
        <v>25</v>
      </c>
      <c r="I137" s="0" t="str">
        <f aca="false">VLOOKUP(H137,'rozdělení obchodníků'!B:D,3, )</f>
        <v>Praha</v>
      </c>
      <c r="J137" s="4" t="n">
        <v>100000</v>
      </c>
    </row>
    <row r="138" customFormat="false" ht="15" hidden="false" customHeight="false" outlineLevel="0" collapsed="false">
      <c r="B138" s="2" t="n">
        <v>45934</v>
      </c>
      <c r="C138" s="3" t="n">
        <f aca="false">MONTH(B138)</f>
        <v>10</v>
      </c>
      <c r="D138" s="0" t="n">
        <v>20220012936</v>
      </c>
      <c r="E138" s="0" t="s">
        <v>79</v>
      </c>
      <c r="F138" s="0" t="s">
        <v>83</v>
      </c>
      <c r="G138" s="0" t="s">
        <v>81</v>
      </c>
      <c r="H138" s="0" t="s">
        <v>19</v>
      </c>
      <c r="I138" s="0" t="str">
        <f aca="false">VLOOKUP(H138,'rozdělení obchodníků'!B:D,3, )</f>
        <v>Čechy</v>
      </c>
      <c r="J138" s="4" t="n">
        <v>500000</v>
      </c>
    </row>
    <row r="139" customFormat="false" ht="15" hidden="false" customHeight="false" outlineLevel="0" collapsed="false">
      <c r="B139" s="2" t="n">
        <v>45934</v>
      </c>
      <c r="C139" s="3" t="n">
        <f aca="false">MONTH(B139)</f>
        <v>10</v>
      </c>
      <c r="D139" s="0" t="n">
        <v>20220012939</v>
      </c>
      <c r="E139" s="0" t="s">
        <v>79</v>
      </c>
      <c r="F139" s="0" t="s">
        <v>80</v>
      </c>
      <c r="G139" s="0" t="s">
        <v>84</v>
      </c>
      <c r="H139" s="0" t="s">
        <v>19</v>
      </c>
      <c r="I139" s="0" t="str">
        <f aca="false">VLOOKUP(H139,'rozdělení obchodníků'!B:D,3, )</f>
        <v>Čechy</v>
      </c>
      <c r="J139" s="4" t="n">
        <v>100000</v>
      </c>
    </row>
    <row r="140" customFormat="false" ht="15" hidden="false" customHeight="false" outlineLevel="0" collapsed="false">
      <c r="B140" s="2" t="n">
        <v>45934</v>
      </c>
      <c r="C140" s="3" t="n">
        <f aca="false">MONTH(B140)</f>
        <v>10</v>
      </c>
      <c r="D140" s="0" t="n">
        <v>20220012942</v>
      </c>
      <c r="E140" s="0" t="s">
        <v>79</v>
      </c>
      <c r="F140" s="0" t="s">
        <v>83</v>
      </c>
      <c r="G140" s="0" t="s">
        <v>84</v>
      </c>
      <c r="H140" s="0" t="s">
        <v>19</v>
      </c>
      <c r="I140" s="0" t="str">
        <f aca="false">VLOOKUP(H140,'rozdělení obchodníků'!B:D,3, )</f>
        <v>Čechy</v>
      </c>
      <c r="J140" s="4" t="n">
        <v>100000</v>
      </c>
    </row>
    <row r="141" customFormat="false" ht="15" hidden="false" customHeight="false" outlineLevel="0" collapsed="false">
      <c r="B141" s="2" t="n">
        <v>45935</v>
      </c>
      <c r="C141" s="3" t="n">
        <f aca="false">MONTH(B141)</f>
        <v>10</v>
      </c>
      <c r="D141" s="0" t="n">
        <v>20220012945</v>
      </c>
      <c r="E141" s="0" t="s">
        <v>79</v>
      </c>
      <c r="F141" s="0" t="s">
        <v>83</v>
      </c>
      <c r="G141" s="0" t="s">
        <v>81</v>
      </c>
      <c r="H141" s="0" t="s">
        <v>59</v>
      </c>
      <c r="I141" s="0" t="str">
        <f aca="false">VLOOKUP(H141,'rozdělení obchodníků'!B:D,3, )</f>
        <v>Čechy</v>
      </c>
      <c r="J141" s="4" t="n">
        <v>100000</v>
      </c>
    </row>
    <row r="142" customFormat="false" ht="15" hidden="false" customHeight="false" outlineLevel="0" collapsed="false">
      <c r="B142" s="2" t="n">
        <v>45935</v>
      </c>
      <c r="C142" s="3" t="n">
        <f aca="false">MONTH(B142)</f>
        <v>10</v>
      </c>
      <c r="D142" s="0" t="n">
        <v>20220012948</v>
      </c>
      <c r="E142" s="0" t="s">
        <v>79</v>
      </c>
      <c r="F142" s="0" t="s">
        <v>82</v>
      </c>
      <c r="G142" s="0" t="s">
        <v>81</v>
      </c>
      <c r="H142" s="0" t="s">
        <v>31</v>
      </c>
      <c r="I142" s="0" t="str">
        <f aca="false">VLOOKUP(H142,'rozdělení obchodníků'!B:D,3, )</f>
        <v>Morava</v>
      </c>
      <c r="J142" s="4" t="n">
        <v>300000</v>
      </c>
    </row>
    <row r="143" customFormat="false" ht="15" hidden="false" customHeight="false" outlineLevel="0" collapsed="false">
      <c r="B143" s="2" t="n">
        <v>45936</v>
      </c>
      <c r="C143" s="3" t="n">
        <f aca="false">MONTH(B143)</f>
        <v>10</v>
      </c>
      <c r="D143" s="0" t="n">
        <v>20220012951</v>
      </c>
      <c r="E143" s="0" t="s">
        <v>79</v>
      </c>
      <c r="F143" s="0" t="s">
        <v>83</v>
      </c>
      <c r="G143" s="0" t="s">
        <v>81</v>
      </c>
      <c r="H143" s="0" t="s">
        <v>63</v>
      </c>
      <c r="I143" s="0" t="str">
        <f aca="false">VLOOKUP(H143,'rozdělení obchodníků'!B:D,3, )</f>
        <v>Praha</v>
      </c>
      <c r="J143" s="4" t="n">
        <v>1000000</v>
      </c>
    </row>
    <row r="144" customFormat="false" ht="15" hidden="false" customHeight="false" outlineLevel="0" collapsed="false">
      <c r="B144" s="2" t="n">
        <v>45936</v>
      </c>
      <c r="C144" s="3" t="n">
        <f aca="false">MONTH(B144)</f>
        <v>10</v>
      </c>
      <c r="D144" s="0" t="n">
        <v>20220012954</v>
      </c>
      <c r="E144" s="0" t="s">
        <v>79</v>
      </c>
      <c r="F144" s="0" t="s">
        <v>83</v>
      </c>
      <c r="G144" s="0" t="s">
        <v>81</v>
      </c>
      <c r="H144" s="0" t="s">
        <v>45</v>
      </c>
      <c r="I144" s="0" t="str">
        <f aca="false">VLOOKUP(H144,'rozdělení obchodníků'!B:D,3, )</f>
        <v>Čechy</v>
      </c>
      <c r="J144" s="4" t="n">
        <v>100000</v>
      </c>
    </row>
    <row r="145" customFormat="false" ht="15" hidden="false" customHeight="false" outlineLevel="0" collapsed="false">
      <c r="B145" s="2" t="n">
        <v>45936</v>
      </c>
      <c r="C145" s="3" t="n">
        <f aca="false">MONTH(B145)</f>
        <v>10</v>
      </c>
      <c r="D145" s="0" t="n">
        <v>20220012957</v>
      </c>
      <c r="E145" s="0" t="s">
        <v>79</v>
      </c>
      <c r="F145" s="0" t="s">
        <v>80</v>
      </c>
      <c r="G145" s="0" t="s">
        <v>84</v>
      </c>
      <c r="H145" s="0" t="s">
        <v>61</v>
      </c>
      <c r="I145" s="0" t="str">
        <f aca="false">VLOOKUP(H145,'rozdělení obchodníků'!B:D,3, )</f>
        <v>Morava</v>
      </c>
      <c r="J145" s="4" t="n">
        <v>250000</v>
      </c>
    </row>
    <row r="146" customFormat="false" ht="15" hidden="false" customHeight="false" outlineLevel="0" collapsed="false">
      <c r="B146" s="2" t="n">
        <v>45936</v>
      </c>
      <c r="C146" s="3" t="n">
        <f aca="false">MONTH(B146)</f>
        <v>10</v>
      </c>
      <c r="D146" s="0" t="n">
        <v>20220012960</v>
      </c>
      <c r="E146" s="0" t="s">
        <v>79</v>
      </c>
      <c r="F146" s="0" t="s">
        <v>80</v>
      </c>
      <c r="G146" s="0" t="s">
        <v>81</v>
      </c>
      <c r="H146" s="0" t="s">
        <v>45</v>
      </c>
      <c r="I146" s="0" t="str">
        <f aca="false">VLOOKUP(H146,'rozdělení obchodníků'!B:D,3, )</f>
        <v>Čechy</v>
      </c>
      <c r="J146" s="4" t="n">
        <v>100000</v>
      </c>
    </row>
    <row r="147" customFormat="false" ht="15" hidden="false" customHeight="false" outlineLevel="0" collapsed="false">
      <c r="B147" s="2" t="n">
        <v>45936</v>
      </c>
      <c r="C147" s="3" t="n">
        <f aca="false">MONTH(B147)</f>
        <v>10</v>
      </c>
      <c r="D147" s="0" t="n">
        <v>20220012963</v>
      </c>
      <c r="E147" s="0" t="s">
        <v>79</v>
      </c>
      <c r="F147" s="0" t="s">
        <v>83</v>
      </c>
      <c r="G147" s="0" t="s">
        <v>81</v>
      </c>
      <c r="H147" s="0" t="s">
        <v>61</v>
      </c>
      <c r="I147" s="0" t="str">
        <f aca="false">VLOOKUP(H147,'rozdělení obchodníků'!B:D,3, )</f>
        <v>Morava</v>
      </c>
      <c r="J147" s="4" t="n">
        <v>600000</v>
      </c>
    </row>
    <row r="148" customFormat="false" ht="15" hidden="false" customHeight="false" outlineLevel="0" collapsed="false">
      <c r="B148" s="2" t="n">
        <v>45936</v>
      </c>
      <c r="C148" s="3" t="n">
        <f aca="false">MONTH(B148)</f>
        <v>10</v>
      </c>
      <c r="D148" s="0" t="n">
        <v>20220012966</v>
      </c>
      <c r="E148" s="0" t="s">
        <v>79</v>
      </c>
      <c r="F148" s="0" t="s">
        <v>82</v>
      </c>
      <c r="G148" s="0" t="s">
        <v>81</v>
      </c>
      <c r="H148" s="0" t="s">
        <v>45</v>
      </c>
      <c r="I148" s="0" t="str">
        <f aca="false">VLOOKUP(H148,'rozdělení obchodníků'!B:D,3, )</f>
        <v>Čechy</v>
      </c>
      <c r="J148" s="4" t="n">
        <v>600000</v>
      </c>
    </row>
    <row r="149" customFormat="false" ht="15" hidden="false" customHeight="false" outlineLevel="0" collapsed="false">
      <c r="B149" s="2" t="n">
        <v>45936</v>
      </c>
      <c r="C149" s="3" t="n">
        <f aca="false">MONTH(B149)</f>
        <v>10</v>
      </c>
      <c r="D149" s="0" t="n">
        <v>20220012969</v>
      </c>
      <c r="E149" s="0" t="s">
        <v>79</v>
      </c>
      <c r="F149" s="0" t="s">
        <v>82</v>
      </c>
      <c r="G149" s="0" t="s">
        <v>81</v>
      </c>
      <c r="H149" s="0" t="s">
        <v>61</v>
      </c>
      <c r="I149" s="0" t="str">
        <f aca="false">VLOOKUP(H149,'rozdělení obchodníků'!B:D,3, )</f>
        <v>Morava</v>
      </c>
      <c r="J149" s="4" t="n">
        <v>100000</v>
      </c>
    </row>
    <row r="150" customFormat="false" ht="15" hidden="false" customHeight="false" outlineLevel="0" collapsed="false">
      <c r="B150" s="2" t="n">
        <v>45936</v>
      </c>
      <c r="C150" s="3" t="n">
        <f aca="false">MONTH(B150)</f>
        <v>10</v>
      </c>
      <c r="D150" s="0" t="n">
        <v>20220012972</v>
      </c>
      <c r="E150" s="0" t="s">
        <v>79</v>
      </c>
      <c r="F150" s="0" t="s">
        <v>82</v>
      </c>
      <c r="G150" s="0" t="s">
        <v>81</v>
      </c>
      <c r="H150" s="0" t="s">
        <v>61</v>
      </c>
      <c r="I150" s="0" t="str">
        <f aca="false">VLOOKUP(H150,'rozdělení obchodníků'!B:D,3, )</f>
        <v>Morava</v>
      </c>
      <c r="J150" s="4" t="n">
        <v>1000000</v>
      </c>
    </row>
    <row r="151" customFormat="false" ht="15" hidden="false" customHeight="false" outlineLevel="0" collapsed="false">
      <c r="B151" s="2" t="n">
        <v>45936</v>
      </c>
      <c r="C151" s="3" t="n">
        <f aca="false">MONTH(B151)</f>
        <v>10</v>
      </c>
      <c r="D151" s="0" t="n">
        <v>20220012975</v>
      </c>
      <c r="E151" s="0" t="s">
        <v>79</v>
      </c>
      <c r="F151" s="0" t="s">
        <v>83</v>
      </c>
      <c r="G151" s="0" t="s">
        <v>81</v>
      </c>
      <c r="H151" s="0" t="s">
        <v>45</v>
      </c>
      <c r="I151" s="0" t="str">
        <f aca="false">VLOOKUP(H151,'rozdělení obchodníků'!B:D,3, )</f>
        <v>Čechy</v>
      </c>
      <c r="J151" s="4" t="n">
        <v>100000</v>
      </c>
    </row>
    <row r="152" customFormat="false" ht="15" hidden="false" customHeight="false" outlineLevel="0" collapsed="false">
      <c r="B152" s="2" t="n">
        <v>45936</v>
      </c>
      <c r="C152" s="3" t="n">
        <f aca="false">MONTH(B152)</f>
        <v>10</v>
      </c>
      <c r="D152" s="0" t="n">
        <v>20220012978</v>
      </c>
      <c r="E152" s="0" t="s">
        <v>79</v>
      </c>
      <c r="F152" s="0" t="s">
        <v>80</v>
      </c>
      <c r="G152" s="0" t="s">
        <v>81</v>
      </c>
      <c r="H152" s="0" t="s">
        <v>61</v>
      </c>
      <c r="I152" s="0" t="str">
        <f aca="false">VLOOKUP(H152,'rozdělení obchodníků'!B:D,3, )</f>
        <v>Morava</v>
      </c>
      <c r="J152" s="4" t="n">
        <v>600000</v>
      </c>
    </row>
    <row r="153" customFormat="false" ht="15" hidden="false" customHeight="false" outlineLevel="0" collapsed="false">
      <c r="B153" s="2" t="n">
        <v>45936</v>
      </c>
      <c r="C153" s="3" t="n">
        <f aca="false">MONTH(B153)</f>
        <v>10</v>
      </c>
      <c r="D153" s="0" t="n">
        <v>20220012981</v>
      </c>
      <c r="E153" s="0" t="s">
        <v>79</v>
      </c>
      <c r="F153" s="0" t="s">
        <v>80</v>
      </c>
      <c r="G153" s="0" t="s">
        <v>81</v>
      </c>
      <c r="H153" s="0" t="s">
        <v>37</v>
      </c>
      <c r="I153" s="0" t="str">
        <f aca="false">VLOOKUP(H153,'rozdělení obchodníků'!B:D,3, )</f>
        <v>Morava</v>
      </c>
      <c r="J153" s="4" t="n">
        <v>100000</v>
      </c>
    </row>
    <row r="154" customFormat="false" ht="15" hidden="false" customHeight="false" outlineLevel="0" collapsed="false">
      <c r="B154" s="2" t="n">
        <v>45936</v>
      </c>
      <c r="C154" s="3" t="n">
        <f aca="false">MONTH(B154)</f>
        <v>10</v>
      </c>
      <c r="D154" s="0" t="n">
        <v>20220012984</v>
      </c>
      <c r="E154" s="0" t="s">
        <v>79</v>
      </c>
      <c r="F154" s="0" t="s">
        <v>83</v>
      </c>
      <c r="G154" s="0" t="s">
        <v>81</v>
      </c>
      <c r="H154" s="0" t="s">
        <v>12</v>
      </c>
      <c r="I154" s="0" t="str">
        <f aca="false">VLOOKUP(H154,'rozdělení obchodníků'!B:D,3, )</f>
        <v>Morava</v>
      </c>
      <c r="J154" s="4" t="n">
        <v>100000</v>
      </c>
    </row>
    <row r="155" customFormat="false" ht="15" hidden="false" customHeight="false" outlineLevel="0" collapsed="false">
      <c r="B155" s="2" t="n">
        <v>45936</v>
      </c>
      <c r="C155" s="3" t="n">
        <f aca="false">MONTH(B155)</f>
        <v>10</v>
      </c>
      <c r="D155" s="0" t="n">
        <v>20220012987</v>
      </c>
      <c r="E155" s="0" t="s">
        <v>79</v>
      </c>
      <c r="F155" s="0" t="s">
        <v>80</v>
      </c>
      <c r="G155" s="0" t="s">
        <v>84</v>
      </c>
      <c r="H155" s="0" t="s">
        <v>45</v>
      </c>
      <c r="I155" s="0" t="str">
        <f aca="false">VLOOKUP(H155,'rozdělení obchodníků'!B:D,3, )</f>
        <v>Čechy</v>
      </c>
      <c r="J155" s="4" t="n">
        <v>100000</v>
      </c>
    </row>
    <row r="156" customFormat="false" ht="15" hidden="false" customHeight="false" outlineLevel="0" collapsed="false">
      <c r="B156" s="2" t="n">
        <v>45936</v>
      </c>
      <c r="C156" s="3" t="n">
        <f aca="false">MONTH(B156)</f>
        <v>10</v>
      </c>
      <c r="D156" s="0" t="n">
        <v>20220012990</v>
      </c>
      <c r="E156" s="0" t="s">
        <v>79</v>
      </c>
      <c r="F156" s="0" t="s">
        <v>83</v>
      </c>
      <c r="G156" s="0" t="s">
        <v>81</v>
      </c>
      <c r="H156" s="0" t="s">
        <v>61</v>
      </c>
      <c r="I156" s="0" t="str">
        <f aca="false">VLOOKUP(H156,'rozdělení obchodníků'!B:D,3, )</f>
        <v>Morava</v>
      </c>
      <c r="J156" s="4" t="n">
        <v>1000000</v>
      </c>
    </row>
    <row r="157" customFormat="false" ht="15" hidden="false" customHeight="false" outlineLevel="0" collapsed="false">
      <c r="B157" s="2" t="n">
        <v>45936</v>
      </c>
      <c r="C157" s="3" t="n">
        <f aca="false">MONTH(B157)</f>
        <v>10</v>
      </c>
      <c r="D157" s="0" t="n">
        <v>20220012993</v>
      </c>
      <c r="E157" s="0" t="s">
        <v>79</v>
      </c>
      <c r="F157" s="0" t="s">
        <v>83</v>
      </c>
      <c r="G157" s="0" t="s">
        <v>81</v>
      </c>
      <c r="H157" s="0" t="s">
        <v>10</v>
      </c>
      <c r="I157" s="0" t="str">
        <f aca="false">VLOOKUP(H157,'rozdělení obchodníků'!B:D,3, )</f>
        <v>Čechy</v>
      </c>
      <c r="J157" s="4" t="n">
        <v>100000</v>
      </c>
    </row>
    <row r="158" customFormat="false" ht="15" hidden="false" customHeight="false" outlineLevel="0" collapsed="false">
      <c r="B158" s="2" t="n">
        <v>45936</v>
      </c>
      <c r="C158" s="3" t="n">
        <f aca="false">MONTH(B158)</f>
        <v>10</v>
      </c>
      <c r="D158" s="0" t="n">
        <v>20220012996</v>
      </c>
      <c r="E158" s="0" t="s">
        <v>79</v>
      </c>
      <c r="F158" s="0" t="s">
        <v>83</v>
      </c>
      <c r="G158" s="0" t="s">
        <v>81</v>
      </c>
      <c r="H158" s="0" t="s">
        <v>37</v>
      </c>
      <c r="I158" s="0" t="str">
        <f aca="false">VLOOKUP(H158,'rozdělení obchodníků'!B:D,3, )</f>
        <v>Morava</v>
      </c>
      <c r="J158" s="4" t="n">
        <v>1000000</v>
      </c>
    </row>
    <row r="159" customFormat="false" ht="15" hidden="false" customHeight="false" outlineLevel="0" collapsed="false">
      <c r="B159" s="2" t="n">
        <v>45936</v>
      </c>
      <c r="C159" s="3" t="n">
        <f aca="false">MONTH(B159)</f>
        <v>10</v>
      </c>
      <c r="D159" s="0" t="n">
        <v>20220012999</v>
      </c>
      <c r="E159" s="0" t="s">
        <v>79</v>
      </c>
      <c r="F159" s="0" t="s">
        <v>83</v>
      </c>
      <c r="G159" s="0" t="s">
        <v>81</v>
      </c>
      <c r="H159" s="0" t="s">
        <v>61</v>
      </c>
      <c r="I159" s="0" t="str">
        <f aca="false">VLOOKUP(H159,'rozdělení obchodníků'!B:D,3, )</f>
        <v>Morava</v>
      </c>
      <c r="J159" s="4" t="n">
        <v>100000</v>
      </c>
    </row>
    <row r="160" customFormat="false" ht="15" hidden="false" customHeight="false" outlineLevel="0" collapsed="false">
      <c r="B160" s="2" t="n">
        <v>45936</v>
      </c>
      <c r="C160" s="3" t="n">
        <f aca="false">MONTH(B160)</f>
        <v>10</v>
      </c>
      <c r="D160" s="0" t="n">
        <v>20220013002</v>
      </c>
      <c r="E160" s="0" t="s">
        <v>79</v>
      </c>
      <c r="F160" s="0" t="s">
        <v>80</v>
      </c>
      <c r="G160" s="0" t="s">
        <v>81</v>
      </c>
      <c r="H160" s="0" t="s">
        <v>10</v>
      </c>
      <c r="I160" s="0" t="str">
        <f aca="false">VLOOKUP(H160,'rozdělení obchodníků'!B:D,3, )</f>
        <v>Čechy</v>
      </c>
      <c r="J160" s="4" t="n">
        <v>100000</v>
      </c>
    </row>
    <row r="161" customFormat="false" ht="15" hidden="false" customHeight="false" outlineLevel="0" collapsed="false">
      <c r="B161" s="2" t="n">
        <v>45936</v>
      </c>
      <c r="C161" s="3" t="n">
        <f aca="false">MONTH(B161)</f>
        <v>10</v>
      </c>
      <c r="D161" s="0" t="n">
        <v>20220013005</v>
      </c>
      <c r="E161" s="0" t="s">
        <v>79</v>
      </c>
      <c r="F161" s="0" t="s">
        <v>83</v>
      </c>
      <c r="G161" s="0" t="s">
        <v>81</v>
      </c>
      <c r="H161" s="0" t="s">
        <v>37</v>
      </c>
      <c r="I161" s="0" t="str">
        <f aca="false">VLOOKUP(H161,'rozdělení obchodníků'!B:D,3, )</f>
        <v>Morava</v>
      </c>
      <c r="J161" s="4" t="n">
        <v>100000</v>
      </c>
    </row>
    <row r="162" customFormat="false" ht="15" hidden="false" customHeight="false" outlineLevel="0" collapsed="false">
      <c r="B162" s="2" t="n">
        <v>45936</v>
      </c>
      <c r="C162" s="3" t="n">
        <f aca="false">MONTH(B162)</f>
        <v>10</v>
      </c>
      <c r="D162" s="0" t="n">
        <v>20220013008</v>
      </c>
      <c r="E162" s="0" t="s">
        <v>79</v>
      </c>
      <c r="F162" s="0" t="s">
        <v>82</v>
      </c>
      <c r="G162" s="0" t="s">
        <v>81</v>
      </c>
      <c r="H162" s="0" t="s">
        <v>61</v>
      </c>
      <c r="I162" s="0" t="str">
        <f aca="false">VLOOKUP(H162,'rozdělení obchodníků'!B:D,3, )</f>
        <v>Morava</v>
      </c>
      <c r="J162" s="4" t="n">
        <v>100000</v>
      </c>
    </row>
    <row r="163" customFormat="false" ht="15" hidden="false" customHeight="false" outlineLevel="0" collapsed="false">
      <c r="B163" s="2" t="n">
        <v>45936</v>
      </c>
      <c r="C163" s="3" t="n">
        <f aca="false">MONTH(B163)</f>
        <v>10</v>
      </c>
      <c r="D163" s="0" t="n">
        <v>20220013011</v>
      </c>
      <c r="E163" s="0" t="s">
        <v>79</v>
      </c>
      <c r="F163" s="0" t="s">
        <v>83</v>
      </c>
      <c r="G163" s="0" t="s">
        <v>81</v>
      </c>
      <c r="H163" s="0" t="s">
        <v>45</v>
      </c>
      <c r="I163" s="0" t="str">
        <f aca="false">VLOOKUP(H163,'rozdělení obchodníků'!B:D,3, )</f>
        <v>Čechy</v>
      </c>
      <c r="J163" s="4" t="n">
        <v>100000</v>
      </c>
    </row>
    <row r="164" customFormat="false" ht="15" hidden="false" customHeight="false" outlineLevel="0" collapsed="false">
      <c r="B164" s="2" t="n">
        <v>45936</v>
      </c>
      <c r="C164" s="3" t="n">
        <f aca="false">MONTH(B164)</f>
        <v>10</v>
      </c>
      <c r="D164" s="0" t="n">
        <v>20220013014</v>
      </c>
      <c r="E164" s="0" t="s">
        <v>79</v>
      </c>
      <c r="F164" s="0" t="s">
        <v>82</v>
      </c>
      <c r="G164" s="0" t="s">
        <v>81</v>
      </c>
      <c r="H164" s="0" t="s">
        <v>61</v>
      </c>
      <c r="I164" s="0" t="str">
        <f aca="false">VLOOKUP(H164,'rozdělení obchodníků'!B:D,3, )</f>
        <v>Morava</v>
      </c>
      <c r="J164" s="4" t="n">
        <v>1000000</v>
      </c>
    </row>
    <row r="165" customFormat="false" ht="15" hidden="false" customHeight="false" outlineLevel="0" collapsed="false">
      <c r="B165" s="2" t="n">
        <v>45936</v>
      </c>
      <c r="C165" s="3" t="n">
        <f aca="false">MONTH(B165)</f>
        <v>10</v>
      </c>
      <c r="D165" s="0" t="n">
        <v>20220013017</v>
      </c>
      <c r="E165" s="0" t="s">
        <v>79</v>
      </c>
      <c r="F165" s="0" t="s">
        <v>83</v>
      </c>
      <c r="G165" s="0" t="s">
        <v>84</v>
      </c>
      <c r="H165" s="0" t="s">
        <v>25</v>
      </c>
      <c r="I165" s="0" t="str">
        <f aca="false">VLOOKUP(H165,'rozdělení obchodníků'!B:D,3, )</f>
        <v>Praha</v>
      </c>
      <c r="J165" s="4" t="n">
        <v>100000</v>
      </c>
    </row>
    <row r="166" customFormat="false" ht="15" hidden="false" customHeight="false" outlineLevel="0" collapsed="false">
      <c r="B166" s="2" t="n">
        <v>45936</v>
      </c>
      <c r="C166" s="3" t="n">
        <f aca="false">MONTH(B166)</f>
        <v>10</v>
      </c>
      <c r="D166" s="0" t="n">
        <v>20220013020</v>
      </c>
      <c r="E166" s="0" t="s">
        <v>79</v>
      </c>
      <c r="F166" s="0" t="s">
        <v>83</v>
      </c>
      <c r="G166" s="0" t="s">
        <v>81</v>
      </c>
      <c r="H166" s="0" t="s">
        <v>25</v>
      </c>
      <c r="I166" s="0" t="str">
        <f aca="false">VLOOKUP(H166,'rozdělení obchodníků'!B:D,3, )</f>
        <v>Praha</v>
      </c>
      <c r="J166" s="4" t="n">
        <v>100000</v>
      </c>
    </row>
    <row r="167" customFormat="false" ht="15" hidden="false" customHeight="false" outlineLevel="0" collapsed="false">
      <c r="B167" s="2" t="n">
        <v>45936</v>
      </c>
      <c r="C167" s="3" t="n">
        <f aca="false">MONTH(B167)</f>
        <v>10</v>
      </c>
      <c r="D167" s="0" t="n">
        <v>20220013023</v>
      </c>
      <c r="E167" s="0" t="s">
        <v>79</v>
      </c>
      <c r="F167" s="0" t="s">
        <v>82</v>
      </c>
      <c r="G167" s="0" t="s">
        <v>81</v>
      </c>
      <c r="H167" s="0" t="s">
        <v>25</v>
      </c>
      <c r="I167" s="0" t="str">
        <f aca="false">VLOOKUP(H167,'rozdělení obchodníků'!B:D,3, )</f>
        <v>Praha</v>
      </c>
      <c r="J167" s="4" t="n">
        <v>1000000</v>
      </c>
    </row>
    <row r="168" customFormat="false" ht="15" hidden="false" customHeight="false" outlineLevel="0" collapsed="false">
      <c r="B168" s="2" t="n">
        <v>45936</v>
      </c>
      <c r="C168" s="3" t="n">
        <f aca="false">MONTH(B168)</f>
        <v>10</v>
      </c>
      <c r="D168" s="0" t="n">
        <v>20220013026</v>
      </c>
      <c r="E168" s="0" t="s">
        <v>79</v>
      </c>
      <c r="F168" s="0" t="s">
        <v>82</v>
      </c>
      <c r="G168" s="0" t="s">
        <v>81</v>
      </c>
      <c r="H168" s="0" t="s">
        <v>25</v>
      </c>
      <c r="I168" s="0" t="str">
        <f aca="false">VLOOKUP(H168,'rozdělení obchodníků'!B:D,3, )</f>
        <v>Praha</v>
      </c>
      <c r="J168" s="4" t="n">
        <v>750000</v>
      </c>
    </row>
    <row r="169" customFormat="false" ht="15" hidden="false" customHeight="false" outlineLevel="0" collapsed="false">
      <c r="B169" s="2" t="n">
        <v>45936</v>
      </c>
      <c r="C169" s="3" t="n">
        <f aca="false">MONTH(B169)</f>
        <v>10</v>
      </c>
      <c r="D169" s="0" t="n">
        <v>20220013029</v>
      </c>
      <c r="E169" s="0" t="s">
        <v>79</v>
      </c>
      <c r="F169" s="0" t="s">
        <v>83</v>
      </c>
      <c r="G169" s="0" t="s">
        <v>81</v>
      </c>
      <c r="H169" s="0" t="s">
        <v>25</v>
      </c>
      <c r="I169" s="0" t="str">
        <f aca="false">VLOOKUP(H169,'rozdělení obchodníků'!B:D,3, )</f>
        <v>Praha</v>
      </c>
      <c r="J169" s="4" t="n">
        <v>100000</v>
      </c>
    </row>
    <row r="170" customFormat="false" ht="15" hidden="false" customHeight="false" outlineLevel="0" collapsed="false">
      <c r="B170" s="2" t="n">
        <v>45936</v>
      </c>
      <c r="C170" s="3" t="n">
        <f aca="false">MONTH(B170)</f>
        <v>10</v>
      </c>
      <c r="D170" s="0" t="n">
        <v>20220013032</v>
      </c>
      <c r="E170" s="0" t="s">
        <v>79</v>
      </c>
      <c r="F170" s="0" t="s">
        <v>80</v>
      </c>
      <c r="G170" s="0" t="s">
        <v>81</v>
      </c>
      <c r="H170" s="0" t="s">
        <v>19</v>
      </c>
      <c r="I170" s="0" t="str">
        <f aca="false">VLOOKUP(H170,'rozdělení obchodníků'!B:D,3, )</f>
        <v>Čechy</v>
      </c>
      <c r="J170" s="4" t="n">
        <v>100000</v>
      </c>
    </row>
    <row r="171" customFormat="false" ht="15" hidden="false" customHeight="false" outlineLevel="0" collapsed="false">
      <c r="B171" s="2" t="n">
        <v>45936</v>
      </c>
      <c r="C171" s="3" t="n">
        <f aca="false">MONTH(B171)</f>
        <v>10</v>
      </c>
      <c r="D171" s="0" t="n">
        <v>20220013035</v>
      </c>
      <c r="E171" s="0" t="s">
        <v>79</v>
      </c>
      <c r="F171" s="0" t="s">
        <v>80</v>
      </c>
      <c r="G171" s="0" t="s">
        <v>81</v>
      </c>
      <c r="H171" s="0" t="s">
        <v>19</v>
      </c>
      <c r="I171" s="0" t="str">
        <f aca="false">VLOOKUP(H171,'rozdělení obchodníků'!B:D,3, )</f>
        <v>Čechy</v>
      </c>
      <c r="J171" s="4" t="n">
        <v>100000</v>
      </c>
    </row>
    <row r="172" customFormat="false" ht="15" hidden="false" customHeight="false" outlineLevel="0" collapsed="false">
      <c r="B172" s="2" t="n">
        <v>45936</v>
      </c>
      <c r="C172" s="3" t="n">
        <f aca="false">MONTH(B172)</f>
        <v>10</v>
      </c>
      <c r="D172" s="0" t="n">
        <v>20220013038</v>
      </c>
      <c r="E172" s="0" t="s">
        <v>79</v>
      </c>
      <c r="F172" s="0" t="s">
        <v>82</v>
      </c>
      <c r="G172" s="0" t="s">
        <v>81</v>
      </c>
      <c r="H172" s="0" t="s">
        <v>19</v>
      </c>
      <c r="I172" s="0" t="str">
        <f aca="false">VLOOKUP(H172,'rozdělení obchodníků'!B:D,3, )</f>
        <v>Čechy</v>
      </c>
      <c r="J172" s="4" t="n">
        <v>100000</v>
      </c>
    </row>
    <row r="173" customFormat="false" ht="15" hidden="false" customHeight="false" outlineLevel="0" collapsed="false">
      <c r="B173" s="2" t="n">
        <v>45936</v>
      </c>
      <c r="C173" s="3" t="n">
        <f aca="false">MONTH(B173)</f>
        <v>10</v>
      </c>
      <c r="D173" s="0" t="n">
        <v>20220013041</v>
      </c>
      <c r="E173" s="0" t="s">
        <v>79</v>
      </c>
      <c r="F173" s="0" t="s">
        <v>82</v>
      </c>
      <c r="G173" s="0" t="s">
        <v>81</v>
      </c>
      <c r="H173" s="0" t="s">
        <v>19</v>
      </c>
      <c r="I173" s="0" t="str">
        <f aca="false">VLOOKUP(H173,'rozdělení obchodníků'!B:D,3, )</f>
        <v>Čechy</v>
      </c>
      <c r="J173" s="4" t="n">
        <v>100000</v>
      </c>
    </row>
    <row r="174" customFormat="false" ht="15" hidden="false" customHeight="false" outlineLevel="0" collapsed="false">
      <c r="B174" s="2" t="n">
        <v>45936</v>
      </c>
      <c r="C174" s="3" t="n">
        <f aca="false">MONTH(B174)</f>
        <v>10</v>
      </c>
      <c r="D174" s="0" t="n">
        <v>20220013044</v>
      </c>
      <c r="E174" s="0" t="s">
        <v>79</v>
      </c>
      <c r="F174" s="0" t="s">
        <v>83</v>
      </c>
      <c r="G174" s="0" t="s">
        <v>81</v>
      </c>
      <c r="H174" s="0" t="s">
        <v>67</v>
      </c>
      <c r="I174" s="0" t="str">
        <f aca="false">VLOOKUP(H174,'rozdělení obchodníků'!B:D,3, )</f>
        <v>Čechy</v>
      </c>
      <c r="J174" s="4" t="n">
        <v>1000000</v>
      </c>
    </row>
    <row r="175" customFormat="false" ht="15" hidden="false" customHeight="false" outlineLevel="0" collapsed="false">
      <c r="B175" s="2" t="n">
        <v>45936</v>
      </c>
      <c r="C175" s="3" t="n">
        <f aca="false">MONTH(B175)</f>
        <v>10</v>
      </c>
      <c r="D175" s="0" t="n">
        <v>20220013047</v>
      </c>
      <c r="E175" s="0" t="s">
        <v>79</v>
      </c>
      <c r="F175" s="0" t="s">
        <v>82</v>
      </c>
      <c r="G175" s="0" t="s">
        <v>81</v>
      </c>
      <c r="H175" s="0" t="s">
        <v>7</v>
      </c>
      <c r="I175" s="0" t="str">
        <f aca="false">VLOOKUP(H175,'rozdělení obchodníků'!B:D,3, )</f>
        <v>Praha</v>
      </c>
      <c r="J175" s="4" t="n">
        <v>500000</v>
      </c>
    </row>
    <row r="176" customFormat="false" ht="15" hidden="false" customHeight="false" outlineLevel="0" collapsed="false">
      <c r="B176" s="2" t="n">
        <v>45936</v>
      </c>
      <c r="C176" s="3" t="n">
        <f aca="false">MONTH(B176)</f>
        <v>10</v>
      </c>
      <c r="D176" s="0" t="n">
        <v>20220013050</v>
      </c>
      <c r="E176" s="0" t="s">
        <v>79</v>
      </c>
      <c r="F176" s="0" t="s">
        <v>82</v>
      </c>
      <c r="G176" s="0" t="s">
        <v>81</v>
      </c>
      <c r="H176" s="0" t="s">
        <v>7</v>
      </c>
      <c r="I176" s="0" t="str">
        <f aca="false">VLOOKUP(H176,'rozdělení obchodníků'!B:D,3, )</f>
        <v>Praha</v>
      </c>
      <c r="J176" s="4" t="n">
        <v>500000</v>
      </c>
    </row>
    <row r="177" customFormat="false" ht="15" hidden="false" customHeight="false" outlineLevel="0" collapsed="false">
      <c r="B177" s="2" t="n">
        <v>45937</v>
      </c>
      <c r="C177" s="3" t="n">
        <f aca="false">MONTH(B177)</f>
        <v>10</v>
      </c>
      <c r="D177" s="0" t="n">
        <v>20220013053</v>
      </c>
      <c r="E177" s="0" t="s">
        <v>79</v>
      </c>
      <c r="F177" s="0" t="s">
        <v>83</v>
      </c>
      <c r="G177" s="0" t="s">
        <v>81</v>
      </c>
      <c r="H177" s="0" t="s">
        <v>37</v>
      </c>
      <c r="I177" s="0" t="str">
        <f aca="false">VLOOKUP(H177,'rozdělení obchodníků'!B:D,3, )</f>
        <v>Morava</v>
      </c>
      <c r="J177" s="4" t="n">
        <v>750000</v>
      </c>
    </row>
    <row r="178" customFormat="false" ht="15" hidden="false" customHeight="false" outlineLevel="0" collapsed="false">
      <c r="B178" s="2" t="n">
        <v>45937</v>
      </c>
      <c r="C178" s="3" t="n">
        <f aca="false">MONTH(B178)</f>
        <v>10</v>
      </c>
      <c r="D178" s="0" t="n">
        <v>20220013056</v>
      </c>
      <c r="E178" s="0" t="s">
        <v>79</v>
      </c>
      <c r="F178" s="0" t="s">
        <v>83</v>
      </c>
      <c r="G178" s="0" t="s">
        <v>81</v>
      </c>
      <c r="H178" s="0" t="s">
        <v>37</v>
      </c>
      <c r="I178" s="0" t="str">
        <f aca="false">VLOOKUP(H178,'rozdělení obchodníků'!B:D,3, )</f>
        <v>Morava</v>
      </c>
      <c r="J178" s="4" t="n">
        <v>1750000</v>
      </c>
    </row>
    <row r="179" customFormat="false" ht="15" hidden="false" customHeight="false" outlineLevel="0" collapsed="false">
      <c r="B179" s="2" t="n">
        <v>45937</v>
      </c>
      <c r="C179" s="3" t="n">
        <f aca="false">MONTH(B179)</f>
        <v>10</v>
      </c>
      <c r="D179" s="0" t="n">
        <v>20220013059</v>
      </c>
      <c r="E179" s="0" t="s">
        <v>79</v>
      </c>
      <c r="F179" s="0" t="s">
        <v>80</v>
      </c>
      <c r="G179" s="0" t="s">
        <v>81</v>
      </c>
      <c r="H179" s="0" t="s">
        <v>37</v>
      </c>
      <c r="I179" s="0" t="str">
        <f aca="false">VLOOKUP(H179,'rozdělení obchodníků'!B:D,3, )</f>
        <v>Morava</v>
      </c>
      <c r="J179" s="4" t="n">
        <v>750000</v>
      </c>
    </row>
    <row r="180" customFormat="false" ht="15" hidden="false" customHeight="false" outlineLevel="0" collapsed="false">
      <c r="B180" s="2" t="n">
        <v>45937</v>
      </c>
      <c r="C180" s="3" t="n">
        <f aca="false">MONTH(B180)</f>
        <v>10</v>
      </c>
      <c r="D180" s="0" t="n">
        <v>20220013062</v>
      </c>
      <c r="E180" s="0" t="s">
        <v>79</v>
      </c>
      <c r="F180" s="0" t="s">
        <v>80</v>
      </c>
      <c r="G180" s="0" t="s">
        <v>81</v>
      </c>
      <c r="H180" s="0" t="s">
        <v>37</v>
      </c>
      <c r="I180" s="0" t="str">
        <f aca="false">VLOOKUP(H180,'rozdělení obchodníků'!B:D,3, )</f>
        <v>Morava</v>
      </c>
      <c r="J180" s="4" t="n">
        <v>750000</v>
      </c>
    </row>
    <row r="181" customFormat="false" ht="15" hidden="false" customHeight="false" outlineLevel="0" collapsed="false">
      <c r="B181" s="2" t="n">
        <v>45937</v>
      </c>
      <c r="C181" s="3" t="n">
        <f aca="false">MONTH(B181)</f>
        <v>10</v>
      </c>
      <c r="D181" s="0" t="n">
        <v>20220013065</v>
      </c>
      <c r="E181" s="0" t="s">
        <v>79</v>
      </c>
      <c r="F181" s="0" t="s">
        <v>80</v>
      </c>
      <c r="G181" s="0" t="s">
        <v>81</v>
      </c>
      <c r="H181" s="0" t="s">
        <v>37</v>
      </c>
      <c r="I181" s="0" t="str">
        <f aca="false">VLOOKUP(H181,'rozdělení obchodníků'!B:D,3, )</f>
        <v>Morava</v>
      </c>
      <c r="J181" s="4" t="n">
        <v>600000</v>
      </c>
    </row>
    <row r="182" customFormat="false" ht="15" hidden="false" customHeight="false" outlineLevel="0" collapsed="false">
      <c r="B182" s="2" t="n">
        <v>45937</v>
      </c>
      <c r="C182" s="3" t="n">
        <f aca="false">MONTH(B182)</f>
        <v>10</v>
      </c>
      <c r="D182" s="0" t="n">
        <v>20220013068</v>
      </c>
      <c r="E182" s="0" t="s">
        <v>79</v>
      </c>
      <c r="F182" s="0" t="s">
        <v>83</v>
      </c>
      <c r="G182" s="0" t="s">
        <v>81</v>
      </c>
      <c r="H182" s="0" t="s">
        <v>37</v>
      </c>
      <c r="I182" s="0" t="str">
        <f aca="false">VLOOKUP(H182,'rozdělení obchodníků'!B:D,3, )</f>
        <v>Morava</v>
      </c>
      <c r="J182" s="4" t="n">
        <v>100000</v>
      </c>
    </row>
    <row r="183" customFormat="false" ht="15" hidden="false" customHeight="false" outlineLevel="0" collapsed="false">
      <c r="B183" s="2" t="n">
        <v>45937</v>
      </c>
      <c r="C183" s="3" t="n">
        <f aca="false">MONTH(B183)</f>
        <v>10</v>
      </c>
      <c r="D183" s="0" t="n">
        <v>20220013071</v>
      </c>
      <c r="E183" s="0" t="s">
        <v>79</v>
      </c>
      <c r="F183" s="0" t="s">
        <v>83</v>
      </c>
      <c r="G183" s="0" t="s">
        <v>81</v>
      </c>
      <c r="H183" s="0" t="s">
        <v>37</v>
      </c>
      <c r="I183" s="0" t="str">
        <f aca="false">VLOOKUP(H183,'rozdělení obchodníků'!B:D,3, )</f>
        <v>Morava</v>
      </c>
      <c r="J183" s="4" t="n">
        <v>100000</v>
      </c>
    </row>
    <row r="184" customFormat="false" ht="15" hidden="false" customHeight="false" outlineLevel="0" collapsed="false">
      <c r="B184" s="2" t="n">
        <v>45937</v>
      </c>
      <c r="C184" s="3" t="n">
        <f aca="false">MONTH(B184)</f>
        <v>10</v>
      </c>
      <c r="D184" s="0" t="n">
        <v>20220013074</v>
      </c>
      <c r="E184" s="0" t="s">
        <v>79</v>
      </c>
      <c r="F184" s="0" t="s">
        <v>80</v>
      </c>
      <c r="G184" s="0" t="s">
        <v>81</v>
      </c>
      <c r="H184" s="0" t="s">
        <v>37</v>
      </c>
      <c r="I184" s="0" t="str">
        <f aca="false">VLOOKUP(H184,'rozdělení obchodníků'!B:D,3, )</f>
        <v>Morava</v>
      </c>
      <c r="J184" s="4" t="n">
        <v>1000000</v>
      </c>
    </row>
    <row r="185" customFormat="false" ht="15" hidden="false" customHeight="false" outlineLevel="0" collapsed="false">
      <c r="B185" s="2" t="n">
        <v>45937</v>
      </c>
      <c r="C185" s="3" t="n">
        <f aca="false">MONTH(B185)</f>
        <v>10</v>
      </c>
      <c r="D185" s="0" t="n">
        <v>20220013077</v>
      </c>
      <c r="E185" s="0" t="s">
        <v>79</v>
      </c>
      <c r="F185" s="0" t="s">
        <v>80</v>
      </c>
      <c r="G185" s="0" t="s">
        <v>81</v>
      </c>
      <c r="H185" s="0" t="s">
        <v>23</v>
      </c>
      <c r="I185" s="0" t="str">
        <f aca="false">VLOOKUP(H185,'rozdělení obchodníků'!B:D,3, )</f>
        <v>Čechy</v>
      </c>
      <c r="J185" s="4" t="n">
        <v>100000</v>
      </c>
    </row>
    <row r="186" customFormat="false" ht="15" hidden="false" customHeight="false" outlineLevel="0" collapsed="false">
      <c r="B186" s="2" t="n">
        <v>45937</v>
      </c>
      <c r="C186" s="3" t="n">
        <f aca="false">MONTH(B186)</f>
        <v>10</v>
      </c>
      <c r="D186" s="0" t="n">
        <v>20220013080</v>
      </c>
      <c r="E186" s="0" t="s">
        <v>79</v>
      </c>
      <c r="F186" s="0" t="s">
        <v>80</v>
      </c>
      <c r="G186" s="0" t="s">
        <v>81</v>
      </c>
      <c r="H186" s="0" t="s">
        <v>23</v>
      </c>
      <c r="I186" s="0" t="str">
        <f aca="false">VLOOKUP(H186,'rozdělení obchodníků'!B:D,3, )</f>
        <v>Čechy</v>
      </c>
      <c r="J186" s="4" t="n">
        <v>100000</v>
      </c>
    </row>
    <row r="187" customFormat="false" ht="15" hidden="false" customHeight="false" outlineLevel="0" collapsed="false">
      <c r="B187" s="2" t="n">
        <v>45937</v>
      </c>
      <c r="C187" s="3" t="n">
        <f aca="false">MONTH(B187)</f>
        <v>10</v>
      </c>
      <c r="D187" s="0" t="n">
        <v>20220013083</v>
      </c>
      <c r="E187" s="0" t="s">
        <v>79</v>
      </c>
      <c r="F187" s="0" t="s">
        <v>80</v>
      </c>
      <c r="G187" s="0" t="s">
        <v>81</v>
      </c>
      <c r="H187" s="0" t="s">
        <v>37</v>
      </c>
      <c r="I187" s="0" t="str">
        <f aca="false">VLOOKUP(H187,'rozdělení obchodníků'!B:D,3, )</f>
        <v>Morava</v>
      </c>
      <c r="J187" s="4" t="n">
        <v>750000</v>
      </c>
    </row>
    <row r="188" customFormat="false" ht="15" hidden="false" customHeight="false" outlineLevel="0" collapsed="false">
      <c r="B188" s="2" t="n">
        <v>45937</v>
      </c>
      <c r="C188" s="3" t="n">
        <f aca="false">MONTH(B188)</f>
        <v>10</v>
      </c>
      <c r="D188" s="0" t="n">
        <v>20220013086</v>
      </c>
      <c r="E188" s="0" t="s">
        <v>79</v>
      </c>
      <c r="F188" s="0" t="s">
        <v>80</v>
      </c>
      <c r="G188" s="0" t="s">
        <v>81</v>
      </c>
      <c r="H188" s="0" t="s">
        <v>37</v>
      </c>
      <c r="I188" s="0" t="str">
        <f aca="false">VLOOKUP(H188,'rozdělení obchodníků'!B:D,3, )</f>
        <v>Morava</v>
      </c>
      <c r="J188" s="4" t="n">
        <v>750000</v>
      </c>
    </row>
    <row r="189" customFormat="false" ht="15" hidden="false" customHeight="false" outlineLevel="0" collapsed="false">
      <c r="B189" s="2" t="n">
        <v>45937</v>
      </c>
      <c r="C189" s="3" t="n">
        <f aca="false">MONTH(B189)</f>
        <v>10</v>
      </c>
      <c r="D189" s="0" t="n">
        <v>20220013089</v>
      </c>
      <c r="E189" s="0" t="s">
        <v>79</v>
      </c>
      <c r="F189" s="0" t="s">
        <v>83</v>
      </c>
      <c r="G189" s="0" t="s">
        <v>81</v>
      </c>
      <c r="H189" s="0" t="s">
        <v>61</v>
      </c>
      <c r="I189" s="0" t="str">
        <f aca="false">VLOOKUP(H189,'rozdělení obchodníků'!B:D,3, )</f>
        <v>Morava</v>
      </c>
      <c r="J189" s="4" t="n">
        <v>1000000</v>
      </c>
    </row>
    <row r="190" customFormat="false" ht="15" hidden="false" customHeight="false" outlineLevel="0" collapsed="false">
      <c r="B190" s="2" t="n">
        <v>45937</v>
      </c>
      <c r="C190" s="3" t="n">
        <f aca="false">MONTH(B190)</f>
        <v>10</v>
      </c>
      <c r="D190" s="0" t="n">
        <v>20220013092</v>
      </c>
      <c r="E190" s="0" t="s">
        <v>79</v>
      </c>
      <c r="F190" s="0" t="s">
        <v>83</v>
      </c>
      <c r="G190" s="0" t="s">
        <v>81</v>
      </c>
      <c r="H190" s="0" t="s">
        <v>61</v>
      </c>
      <c r="I190" s="0" t="str">
        <f aca="false">VLOOKUP(H190,'rozdělení obchodníků'!B:D,3, )</f>
        <v>Morava</v>
      </c>
      <c r="J190" s="4" t="n">
        <v>1000000</v>
      </c>
    </row>
    <row r="191" customFormat="false" ht="15" hidden="false" customHeight="false" outlineLevel="0" collapsed="false">
      <c r="B191" s="2" t="n">
        <v>45937</v>
      </c>
      <c r="C191" s="3" t="n">
        <f aca="false">MONTH(B191)</f>
        <v>10</v>
      </c>
      <c r="D191" s="0" t="n">
        <v>20220013095</v>
      </c>
      <c r="E191" s="0" t="s">
        <v>79</v>
      </c>
      <c r="F191" s="0" t="s">
        <v>83</v>
      </c>
      <c r="G191" s="0" t="s">
        <v>81</v>
      </c>
      <c r="H191" s="0" t="s">
        <v>43</v>
      </c>
      <c r="I191" s="0" t="str">
        <f aca="false">VLOOKUP(H191,'rozdělení obchodníků'!B:D,3, )</f>
        <v>Praha</v>
      </c>
      <c r="J191" s="4" t="n">
        <v>100000</v>
      </c>
    </row>
    <row r="192" customFormat="false" ht="15" hidden="false" customHeight="false" outlineLevel="0" collapsed="false">
      <c r="B192" s="2" t="n">
        <v>45937</v>
      </c>
      <c r="C192" s="3" t="n">
        <f aca="false">MONTH(B192)</f>
        <v>10</v>
      </c>
      <c r="D192" s="0" t="n">
        <v>20220013098</v>
      </c>
      <c r="E192" s="0" t="s">
        <v>79</v>
      </c>
      <c r="F192" s="0" t="s">
        <v>83</v>
      </c>
      <c r="G192" s="0" t="s">
        <v>81</v>
      </c>
      <c r="H192" s="0" t="s">
        <v>61</v>
      </c>
      <c r="I192" s="0" t="str">
        <f aca="false">VLOOKUP(H192,'rozdělení obchodníků'!B:D,3, )</f>
        <v>Morava</v>
      </c>
      <c r="J192" s="4" t="n">
        <v>750000</v>
      </c>
    </row>
    <row r="193" customFormat="false" ht="15" hidden="false" customHeight="false" outlineLevel="0" collapsed="false">
      <c r="B193" s="2" t="n">
        <v>45937</v>
      </c>
      <c r="C193" s="3" t="n">
        <f aca="false">MONTH(B193)</f>
        <v>10</v>
      </c>
      <c r="D193" s="0" t="n">
        <v>20220013101</v>
      </c>
      <c r="E193" s="0" t="s">
        <v>79</v>
      </c>
      <c r="F193" s="0" t="s">
        <v>83</v>
      </c>
      <c r="G193" s="0" t="s">
        <v>81</v>
      </c>
      <c r="H193" s="0" t="s">
        <v>61</v>
      </c>
      <c r="I193" s="0" t="str">
        <f aca="false">VLOOKUP(H193,'rozdělení obchodníků'!B:D,3, )</f>
        <v>Morava</v>
      </c>
      <c r="J193" s="4" t="n">
        <v>750000</v>
      </c>
    </row>
    <row r="194" customFormat="false" ht="15" hidden="false" customHeight="false" outlineLevel="0" collapsed="false">
      <c r="B194" s="2" t="n">
        <v>45937</v>
      </c>
      <c r="C194" s="3" t="n">
        <f aca="false">MONTH(B194)</f>
        <v>10</v>
      </c>
      <c r="D194" s="0" t="n">
        <v>20220013104</v>
      </c>
      <c r="E194" s="0" t="s">
        <v>79</v>
      </c>
      <c r="F194" s="0" t="s">
        <v>80</v>
      </c>
      <c r="G194" s="0" t="s">
        <v>81</v>
      </c>
      <c r="H194" s="0" t="s">
        <v>43</v>
      </c>
      <c r="I194" s="0" t="str">
        <f aca="false">VLOOKUP(H194,'rozdělení obchodníků'!B:D,3, )</f>
        <v>Praha</v>
      </c>
      <c r="J194" s="4" t="n">
        <v>750000</v>
      </c>
    </row>
    <row r="195" customFormat="false" ht="15" hidden="false" customHeight="false" outlineLevel="0" collapsed="false">
      <c r="B195" s="2" t="n">
        <v>45937</v>
      </c>
      <c r="C195" s="3" t="n">
        <f aca="false">MONTH(B195)</f>
        <v>10</v>
      </c>
      <c r="D195" s="0" t="n">
        <v>20220013107</v>
      </c>
      <c r="E195" s="0" t="s">
        <v>79</v>
      </c>
      <c r="F195" s="0" t="s">
        <v>80</v>
      </c>
      <c r="G195" s="0" t="s">
        <v>81</v>
      </c>
      <c r="H195" s="0" t="s">
        <v>43</v>
      </c>
      <c r="I195" s="0" t="str">
        <f aca="false">VLOOKUP(H195,'rozdělení obchodníků'!B:D,3, )</f>
        <v>Praha</v>
      </c>
      <c r="J195" s="4" t="n">
        <v>750000</v>
      </c>
    </row>
    <row r="196" customFormat="false" ht="15" hidden="false" customHeight="false" outlineLevel="0" collapsed="false">
      <c r="B196" s="2" t="n">
        <v>45937</v>
      </c>
      <c r="C196" s="3" t="n">
        <f aca="false">MONTH(B196)</f>
        <v>10</v>
      </c>
      <c r="D196" s="0" t="n">
        <v>20220013110</v>
      </c>
      <c r="E196" s="0" t="s">
        <v>79</v>
      </c>
      <c r="F196" s="0" t="s">
        <v>83</v>
      </c>
      <c r="G196" s="0" t="s">
        <v>81</v>
      </c>
      <c r="H196" s="0" t="s">
        <v>37</v>
      </c>
      <c r="I196" s="0" t="str">
        <f aca="false">VLOOKUP(H196,'rozdělení obchodníků'!B:D,3, )</f>
        <v>Morava</v>
      </c>
      <c r="J196" s="4" t="n">
        <v>100000</v>
      </c>
    </row>
    <row r="197" customFormat="false" ht="15" hidden="false" customHeight="false" outlineLevel="0" collapsed="false">
      <c r="B197" s="2" t="n">
        <v>45937</v>
      </c>
      <c r="C197" s="3" t="n">
        <f aca="false">MONTH(B197)</f>
        <v>10</v>
      </c>
      <c r="D197" s="0" t="n">
        <v>20220013113</v>
      </c>
      <c r="E197" s="0" t="s">
        <v>79</v>
      </c>
      <c r="F197" s="0" t="s">
        <v>80</v>
      </c>
      <c r="G197" s="0" t="s">
        <v>81</v>
      </c>
      <c r="H197" s="0" t="s">
        <v>25</v>
      </c>
      <c r="I197" s="0" t="str">
        <f aca="false">VLOOKUP(H197,'rozdělení obchodníků'!B:D,3, )</f>
        <v>Praha</v>
      </c>
      <c r="J197" s="4" t="n">
        <v>100000</v>
      </c>
    </row>
    <row r="198" customFormat="false" ht="15" hidden="false" customHeight="false" outlineLevel="0" collapsed="false">
      <c r="B198" s="2" t="n">
        <v>45937</v>
      </c>
      <c r="C198" s="3" t="n">
        <f aca="false">MONTH(B198)</f>
        <v>10</v>
      </c>
      <c r="D198" s="0" t="n">
        <v>20220013116</v>
      </c>
      <c r="E198" s="0" t="s">
        <v>79</v>
      </c>
      <c r="F198" s="0" t="s">
        <v>80</v>
      </c>
      <c r="G198" s="0" t="s">
        <v>81</v>
      </c>
      <c r="H198" s="0" t="s">
        <v>25</v>
      </c>
      <c r="I198" s="0" t="str">
        <f aca="false">VLOOKUP(H198,'rozdělení obchodníků'!B:D,3, )</f>
        <v>Praha</v>
      </c>
      <c r="J198" s="4" t="n">
        <v>100000</v>
      </c>
    </row>
    <row r="199" customFormat="false" ht="15" hidden="false" customHeight="false" outlineLevel="0" collapsed="false">
      <c r="B199" s="2" t="n">
        <v>45937</v>
      </c>
      <c r="C199" s="3" t="n">
        <f aca="false">MONTH(B199)</f>
        <v>10</v>
      </c>
      <c r="D199" s="0" t="n">
        <v>20220013119</v>
      </c>
      <c r="E199" s="0" t="s">
        <v>79</v>
      </c>
      <c r="F199" s="0" t="s">
        <v>83</v>
      </c>
      <c r="G199" s="0" t="s">
        <v>81</v>
      </c>
      <c r="H199" s="0" t="s">
        <v>25</v>
      </c>
      <c r="I199" s="0" t="str">
        <f aca="false">VLOOKUP(H199,'rozdělení obchodníků'!B:D,3, )</f>
        <v>Praha</v>
      </c>
      <c r="J199" s="4" t="n">
        <v>750000</v>
      </c>
    </row>
    <row r="200" customFormat="false" ht="15" hidden="false" customHeight="false" outlineLevel="0" collapsed="false">
      <c r="B200" s="2" t="n">
        <v>45937</v>
      </c>
      <c r="C200" s="3" t="n">
        <f aca="false">MONTH(B200)</f>
        <v>10</v>
      </c>
      <c r="D200" s="0" t="n">
        <v>20220013122</v>
      </c>
      <c r="E200" s="0" t="s">
        <v>79</v>
      </c>
      <c r="F200" s="0" t="s">
        <v>83</v>
      </c>
      <c r="G200" s="0" t="s">
        <v>81</v>
      </c>
      <c r="H200" s="0" t="s">
        <v>19</v>
      </c>
      <c r="I200" s="0" t="str">
        <f aca="false">VLOOKUP(H200,'rozdělení obchodníků'!B:D,3, )</f>
        <v>Čechy</v>
      </c>
      <c r="J200" s="4" t="n">
        <v>750000</v>
      </c>
    </row>
    <row r="201" customFormat="false" ht="15" hidden="false" customHeight="false" outlineLevel="0" collapsed="false">
      <c r="B201" s="2" t="n">
        <v>45937</v>
      </c>
      <c r="C201" s="3" t="n">
        <f aca="false">MONTH(B201)</f>
        <v>10</v>
      </c>
      <c r="D201" s="0" t="n">
        <v>20220013125</v>
      </c>
      <c r="E201" s="0" t="s">
        <v>79</v>
      </c>
      <c r="F201" s="0" t="s">
        <v>82</v>
      </c>
      <c r="G201" s="0" t="s">
        <v>81</v>
      </c>
      <c r="H201" s="0" t="s">
        <v>63</v>
      </c>
      <c r="I201" s="0" t="str">
        <f aca="false">VLOOKUP(H201,'rozdělení obchodníků'!B:D,3, )</f>
        <v>Praha</v>
      </c>
      <c r="J201" s="4" t="n">
        <v>300000</v>
      </c>
    </row>
    <row r="202" customFormat="false" ht="15" hidden="false" customHeight="false" outlineLevel="0" collapsed="false">
      <c r="B202" s="2" t="n">
        <v>45937</v>
      </c>
      <c r="C202" s="3" t="n">
        <f aca="false">MONTH(B202)</f>
        <v>10</v>
      </c>
      <c r="D202" s="0" t="n">
        <v>20220013128</v>
      </c>
      <c r="E202" s="0" t="s">
        <v>79</v>
      </c>
      <c r="F202" s="0" t="s">
        <v>82</v>
      </c>
      <c r="G202" s="0" t="s">
        <v>81</v>
      </c>
      <c r="H202" s="0" t="s">
        <v>65</v>
      </c>
      <c r="I202" s="0" t="str">
        <f aca="false">VLOOKUP(H202,'rozdělení obchodníků'!B:D,3, )</f>
        <v>Praha</v>
      </c>
      <c r="J202" s="4" t="n">
        <v>500000</v>
      </c>
    </row>
    <row r="203" customFormat="false" ht="15" hidden="false" customHeight="false" outlineLevel="0" collapsed="false">
      <c r="B203" s="2" t="n">
        <v>45938</v>
      </c>
      <c r="C203" s="3" t="n">
        <f aca="false">MONTH(B203)</f>
        <v>10</v>
      </c>
      <c r="D203" s="0" t="n">
        <v>20220013131</v>
      </c>
      <c r="E203" s="0" t="s">
        <v>79</v>
      </c>
      <c r="F203" s="0" t="s">
        <v>83</v>
      </c>
      <c r="G203" s="0" t="s">
        <v>81</v>
      </c>
      <c r="H203" s="0" t="s">
        <v>67</v>
      </c>
      <c r="I203" s="0" t="str">
        <f aca="false">VLOOKUP(H203,'rozdělení obchodníků'!B:D,3, )</f>
        <v>Čechy</v>
      </c>
      <c r="J203" s="4" t="n">
        <v>1000000</v>
      </c>
    </row>
    <row r="204" customFormat="false" ht="15" hidden="false" customHeight="false" outlineLevel="0" collapsed="false">
      <c r="B204" s="2" t="n">
        <v>45938</v>
      </c>
      <c r="C204" s="3" t="n">
        <f aca="false">MONTH(B204)</f>
        <v>10</v>
      </c>
      <c r="D204" s="0" t="n">
        <v>20220013134</v>
      </c>
      <c r="E204" s="0" t="s">
        <v>79</v>
      </c>
      <c r="F204" s="0" t="s">
        <v>83</v>
      </c>
      <c r="G204" s="0" t="s">
        <v>81</v>
      </c>
      <c r="H204" s="0" t="s">
        <v>7</v>
      </c>
      <c r="I204" s="0" t="str">
        <f aca="false">VLOOKUP(H204,'rozdělení obchodníků'!B:D,3, )</f>
        <v>Praha</v>
      </c>
      <c r="J204" s="4" t="n">
        <v>100000</v>
      </c>
    </row>
    <row r="205" customFormat="false" ht="15" hidden="false" customHeight="false" outlineLevel="0" collapsed="false">
      <c r="B205" s="2" t="n">
        <v>45938</v>
      </c>
      <c r="C205" s="3" t="n">
        <f aca="false">MONTH(B205)</f>
        <v>10</v>
      </c>
      <c r="D205" s="0" t="n">
        <v>20220013137</v>
      </c>
      <c r="E205" s="0" t="s">
        <v>79</v>
      </c>
      <c r="F205" s="0" t="s">
        <v>83</v>
      </c>
      <c r="G205" s="0" t="s">
        <v>81</v>
      </c>
      <c r="H205" s="0" t="s">
        <v>63</v>
      </c>
      <c r="I205" s="0" t="str">
        <f aca="false">VLOOKUP(H205,'rozdělení obchodníků'!B:D,3, )</f>
        <v>Praha</v>
      </c>
      <c r="J205" s="4" t="n">
        <v>1000000</v>
      </c>
    </row>
    <row r="206" customFormat="false" ht="15" hidden="false" customHeight="false" outlineLevel="0" collapsed="false">
      <c r="B206" s="2" t="n">
        <v>45938</v>
      </c>
      <c r="C206" s="3" t="n">
        <f aca="false">MONTH(B206)</f>
        <v>10</v>
      </c>
      <c r="D206" s="0" t="n">
        <v>20220013140</v>
      </c>
      <c r="E206" s="0" t="s">
        <v>79</v>
      </c>
      <c r="F206" s="0" t="s">
        <v>83</v>
      </c>
      <c r="G206" s="0" t="s">
        <v>81</v>
      </c>
      <c r="H206" s="0" t="s">
        <v>63</v>
      </c>
      <c r="I206" s="0" t="str">
        <f aca="false">VLOOKUP(H206,'rozdělení obchodníků'!B:D,3, )</f>
        <v>Praha</v>
      </c>
      <c r="J206" s="4" t="n">
        <v>800000</v>
      </c>
    </row>
    <row r="207" customFormat="false" ht="15" hidden="false" customHeight="false" outlineLevel="0" collapsed="false">
      <c r="B207" s="2" t="n">
        <v>45938</v>
      </c>
      <c r="C207" s="3" t="n">
        <f aca="false">MONTH(B207)</f>
        <v>10</v>
      </c>
      <c r="D207" s="0" t="n">
        <v>20220013143</v>
      </c>
      <c r="E207" s="0" t="s">
        <v>79</v>
      </c>
      <c r="F207" s="0" t="s">
        <v>83</v>
      </c>
      <c r="G207" s="0" t="s">
        <v>81</v>
      </c>
      <c r="H207" s="0" t="s">
        <v>29</v>
      </c>
      <c r="I207" s="0" t="str">
        <f aca="false">VLOOKUP(H207,'rozdělení obchodníků'!B:D,3, )</f>
        <v>Čechy</v>
      </c>
      <c r="J207" s="4" t="n">
        <v>1000000</v>
      </c>
    </row>
    <row r="208" customFormat="false" ht="15" hidden="false" customHeight="false" outlineLevel="0" collapsed="false">
      <c r="B208" s="2" t="n">
        <v>45938</v>
      </c>
      <c r="C208" s="3" t="n">
        <f aca="false">MONTH(B208)</f>
        <v>10</v>
      </c>
      <c r="D208" s="0" t="n">
        <v>20220013146</v>
      </c>
      <c r="E208" s="0" t="s">
        <v>79</v>
      </c>
      <c r="F208" s="0" t="s">
        <v>80</v>
      </c>
      <c r="G208" s="0" t="s">
        <v>81</v>
      </c>
      <c r="H208" s="0" t="s">
        <v>65</v>
      </c>
      <c r="I208" s="0" t="str">
        <f aca="false">VLOOKUP(H208,'rozdělení obchodníků'!B:D,3, )</f>
        <v>Praha</v>
      </c>
      <c r="J208" s="4" t="n">
        <v>100000</v>
      </c>
    </row>
    <row r="209" customFormat="false" ht="15" hidden="false" customHeight="false" outlineLevel="0" collapsed="false">
      <c r="B209" s="2" t="n">
        <v>45938</v>
      </c>
      <c r="C209" s="3" t="n">
        <f aca="false">MONTH(B209)</f>
        <v>10</v>
      </c>
      <c r="D209" s="0" t="n">
        <v>20220013149</v>
      </c>
      <c r="E209" s="0" t="s">
        <v>79</v>
      </c>
      <c r="F209" s="0" t="s">
        <v>80</v>
      </c>
      <c r="G209" s="0" t="s">
        <v>81</v>
      </c>
      <c r="H209" s="0" t="s">
        <v>37</v>
      </c>
      <c r="I209" s="0" t="str">
        <f aca="false">VLOOKUP(H209,'rozdělení obchodníků'!B:D,3, )</f>
        <v>Morava</v>
      </c>
      <c r="J209" s="4" t="n">
        <v>100000</v>
      </c>
    </row>
    <row r="210" customFormat="false" ht="15" hidden="false" customHeight="false" outlineLevel="0" collapsed="false">
      <c r="B210" s="2" t="n">
        <v>45938</v>
      </c>
      <c r="C210" s="3" t="n">
        <f aca="false">MONTH(B210)</f>
        <v>10</v>
      </c>
      <c r="D210" s="0" t="n">
        <v>20220013152</v>
      </c>
      <c r="E210" s="0" t="s">
        <v>79</v>
      </c>
      <c r="F210" s="0" t="s">
        <v>82</v>
      </c>
      <c r="G210" s="0" t="s">
        <v>81</v>
      </c>
      <c r="H210" s="0" t="s">
        <v>12</v>
      </c>
      <c r="I210" s="0" t="str">
        <f aca="false">VLOOKUP(H210,'rozdělení obchodníků'!B:D,3, )</f>
        <v>Morava</v>
      </c>
      <c r="J210" s="4" t="n">
        <v>3000000</v>
      </c>
    </row>
    <row r="211" customFormat="false" ht="15" hidden="false" customHeight="false" outlineLevel="0" collapsed="false">
      <c r="B211" s="2" t="n">
        <v>45938</v>
      </c>
      <c r="C211" s="3" t="n">
        <f aca="false">MONTH(B211)</f>
        <v>10</v>
      </c>
      <c r="D211" s="0" t="n">
        <v>20220013155</v>
      </c>
      <c r="E211" s="0" t="s">
        <v>79</v>
      </c>
      <c r="F211" s="0" t="s">
        <v>82</v>
      </c>
      <c r="G211" s="0" t="s">
        <v>81</v>
      </c>
      <c r="H211" s="0" t="s">
        <v>17</v>
      </c>
      <c r="I211" s="0" t="str">
        <f aca="false">VLOOKUP(H211,'rozdělení obchodníků'!B:D,3, )</f>
        <v>Praha</v>
      </c>
      <c r="J211" s="4" t="n">
        <v>100000</v>
      </c>
    </row>
    <row r="212" customFormat="false" ht="15" hidden="false" customHeight="false" outlineLevel="0" collapsed="false">
      <c r="B212" s="2" t="n">
        <v>45938</v>
      </c>
      <c r="C212" s="3" t="n">
        <f aca="false">MONTH(B212)</f>
        <v>10</v>
      </c>
      <c r="D212" s="0" t="n">
        <v>20220013158</v>
      </c>
      <c r="E212" s="0" t="s">
        <v>79</v>
      </c>
      <c r="F212" s="0" t="s">
        <v>82</v>
      </c>
      <c r="G212" s="0" t="s">
        <v>81</v>
      </c>
      <c r="H212" s="0" t="s">
        <v>29</v>
      </c>
      <c r="I212" s="0" t="str">
        <f aca="false">VLOOKUP(H212,'rozdělení obchodníků'!B:D,3, )</f>
        <v>Čechy</v>
      </c>
      <c r="J212" s="4" t="n">
        <v>100000</v>
      </c>
    </row>
    <row r="213" customFormat="false" ht="15" hidden="false" customHeight="false" outlineLevel="0" collapsed="false">
      <c r="B213" s="2" t="n">
        <v>45938</v>
      </c>
      <c r="C213" s="3" t="n">
        <f aca="false">MONTH(B213)</f>
        <v>10</v>
      </c>
      <c r="D213" s="0" t="n">
        <v>20220013161</v>
      </c>
      <c r="E213" s="0" t="s">
        <v>79</v>
      </c>
      <c r="F213" s="0" t="s">
        <v>83</v>
      </c>
      <c r="G213" s="0" t="s">
        <v>81</v>
      </c>
      <c r="H213" s="0" t="s">
        <v>69</v>
      </c>
      <c r="I213" s="0" t="str">
        <f aca="false">VLOOKUP(H213,'rozdělení obchodníků'!B:D,3, )</f>
        <v>Praha</v>
      </c>
      <c r="J213" s="4" t="n">
        <v>750000</v>
      </c>
    </row>
    <row r="214" customFormat="false" ht="15" hidden="false" customHeight="false" outlineLevel="0" collapsed="false">
      <c r="B214" s="2" t="n">
        <v>45938</v>
      </c>
      <c r="C214" s="3" t="n">
        <f aca="false">MONTH(B214)</f>
        <v>10</v>
      </c>
      <c r="D214" s="0" t="n">
        <v>20220013164</v>
      </c>
      <c r="E214" s="0" t="s">
        <v>79</v>
      </c>
      <c r="F214" s="0" t="s">
        <v>83</v>
      </c>
      <c r="G214" s="0" t="s">
        <v>81</v>
      </c>
      <c r="H214" s="0" t="s">
        <v>37</v>
      </c>
      <c r="I214" s="0" t="str">
        <f aca="false">VLOOKUP(H214,'rozdělení obchodníků'!B:D,3, )</f>
        <v>Morava</v>
      </c>
      <c r="J214" s="4" t="n">
        <v>1000000</v>
      </c>
    </row>
    <row r="215" customFormat="false" ht="15" hidden="false" customHeight="false" outlineLevel="0" collapsed="false">
      <c r="B215" s="2" t="n">
        <v>45938</v>
      </c>
      <c r="C215" s="3" t="n">
        <f aca="false">MONTH(B215)</f>
        <v>10</v>
      </c>
      <c r="D215" s="0" t="n">
        <v>20220013167</v>
      </c>
      <c r="E215" s="0" t="s">
        <v>79</v>
      </c>
      <c r="F215" s="0" t="s">
        <v>83</v>
      </c>
      <c r="G215" s="0" t="s">
        <v>81</v>
      </c>
      <c r="H215" s="0" t="s">
        <v>12</v>
      </c>
      <c r="I215" s="0" t="str">
        <f aca="false">VLOOKUP(H215,'rozdělení obchodníků'!B:D,3, )</f>
        <v>Morava</v>
      </c>
      <c r="J215" s="4" t="n">
        <v>1000000</v>
      </c>
    </row>
    <row r="216" customFormat="false" ht="15" hidden="false" customHeight="false" outlineLevel="0" collapsed="false">
      <c r="B216" s="2" t="n">
        <v>45938</v>
      </c>
      <c r="C216" s="3" t="n">
        <f aca="false">MONTH(B216)</f>
        <v>10</v>
      </c>
      <c r="D216" s="0" t="n">
        <v>20220013170</v>
      </c>
      <c r="E216" s="0" t="s">
        <v>79</v>
      </c>
      <c r="F216" s="0" t="s">
        <v>83</v>
      </c>
      <c r="G216" s="0" t="s">
        <v>81</v>
      </c>
      <c r="H216" s="0" t="s">
        <v>7</v>
      </c>
      <c r="I216" s="0" t="str">
        <f aca="false">VLOOKUP(H216,'rozdělení obchodníků'!B:D,3, )</f>
        <v>Praha</v>
      </c>
      <c r="J216" s="4" t="n">
        <v>100000</v>
      </c>
    </row>
    <row r="217" customFormat="false" ht="15" hidden="false" customHeight="false" outlineLevel="0" collapsed="false">
      <c r="B217" s="2" t="n">
        <v>45938</v>
      </c>
      <c r="C217" s="3" t="n">
        <f aca="false">MONTH(B217)</f>
        <v>10</v>
      </c>
      <c r="D217" s="0" t="n">
        <v>20220013173</v>
      </c>
      <c r="E217" s="0" t="s">
        <v>79</v>
      </c>
      <c r="F217" s="0" t="s">
        <v>83</v>
      </c>
      <c r="G217" s="0" t="s">
        <v>81</v>
      </c>
      <c r="H217" s="0" t="s">
        <v>29</v>
      </c>
      <c r="I217" s="0" t="str">
        <f aca="false">VLOOKUP(H217,'rozdělení obchodníků'!B:D,3, )</f>
        <v>Čechy</v>
      </c>
      <c r="J217" s="4" t="n">
        <v>100000</v>
      </c>
    </row>
    <row r="218" customFormat="false" ht="15" hidden="false" customHeight="false" outlineLevel="0" collapsed="false">
      <c r="B218" s="2" t="n">
        <v>45938</v>
      </c>
      <c r="C218" s="3" t="n">
        <f aca="false">MONTH(B218)</f>
        <v>10</v>
      </c>
      <c r="D218" s="0" t="n">
        <v>20220013176</v>
      </c>
      <c r="E218" s="0" t="s">
        <v>79</v>
      </c>
      <c r="F218" s="0" t="s">
        <v>80</v>
      </c>
      <c r="G218" s="0" t="s">
        <v>81</v>
      </c>
      <c r="H218" s="0" t="s">
        <v>51</v>
      </c>
      <c r="I218" s="0" t="str">
        <f aca="false">VLOOKUP(H218,'rozdělení obchodníků'!B:D,3, )</f>
        <v>Praha</v>
      </c>
      <c r="J218" s="4" t="n">
        <v>1000000</v>
      </c>
    </row>
    <row r="219" customFormat="false" ht="15" hidden="false" customHeight="false" outlineLevel="0" collapsed="false">
      <c r="B219" s="2" t="n">
        <v>45938</v>
      </c>
      <c r="C219" s="3" t="n">
        <f aca="false">MONTH(B219)</f>
        <v>10</v>
      </c>
      <c r="D219" s="0" t="n">
        <v>20220013179</v>
      </c>
      <c r="E219" s="0" t="s">
        <v>79</v>
      </c>
      <c r="F219" s="0" t="s">
        <v>83</v>
      </c>
      <c r="G219" s="0" t="s">
        <v>81</v>
      </c>
      <c r="H219" s="0" t="s">
        <v>37</v>
      </c>
      <c r="I219" s="0" t="str">
        <f aca="false">VLOOKUP(H219,'rozdělení obchodníků'!B:D,3, )</f>
        <v>Morava</v>
      </c>
      <c r="J219" s="4" t="n">
        <v>100000</v>
      </c>
    </row>
    <row r="220" customFormat="false" ht="15" hidden="false" customHeight="false" outlineLevel="0" collapsed="false">
      <c r="B220" s="2" t="n">
        <v>45938</v>
      </c>
      <c r="C220" s="3" t="n">
        <f aca="false">MONTH(B220)</f>
        <v>10</v>
      </c>
      <c r="D220" s="0" t="n">
        <v>20220013182</v>
      </c>
      <c r="E220" s="0" t="s">
        <v>79</v>
      </c>
      <c r="F220" s="0" t="s">
        <v>83</v>
      </c>
      <c r="G220" s="0" t="s">
        <v>81</v>
      </c>
      <c r="H220" s="0" t="s">
        <v>12</v>
      </c>
      <c r="I220" s="0" t="str">
        <f aca="false">VLOOKUP(H220,'rozdělení obchodníků'!B:D,3, )</f>
        <v>Morava</v>
      </c>
      <c r="J220" s="4" t="n">
        <v>750000</v>
      </c>
    </row>
    <row r="221" customFormat="false" ht="15" hidden="false" customHeight="false" outlineLevel="0" collapsed="false">
      <c r="B221" s="2" t="n">
        <v>45938</v>
      </c>
      <c r="C221" s="3" t="n">
        <f aca="false">MONTH(B221)</f>
        <v>10</v>
      </c>
      <c r="D221" s="0" t="n">
        <v>20220013185</v>
      </c>
      <c r="E221" s="0" t="s">
        <v>79</v>
      </c>
      <c r="F221" s="0" t="s">
        <v>83</v>
      </c>
      <c r="G221" s="0" t="s">
        <v>81</v>
      </c>
      <c r="H221" s="0" t="s">
        <v>53</v>
      </c>
      <c r="I221" s="0" t="str">
        <f aca="false">VLOOKUP(H221,'rozdělení obchodníků'!B:D,3, )</f>
        <v>Praha</v>
      </c>
      <c r="J221" s="4" t="n">
        <v>100000</v>
      </c>
    </row>
    <row r="222" customFormat="false" ht="15" hidden="false" customHeight="false" outlineLevel="0" collapsed="false">
      <c r="B222" s="2" t="n">
        <v>45938</v>
      </c>
      <c r="C222" s="3" t="n">
        <f aca="false">MONTH(B222)</f>
        <v>10</v>
      </c>
      <c r="D222" s="0" t="n">
        <v>20220013188</v>
      </c>
      <c r="E222" s="0" t="s">
        <v>79</v>
      </c>
      <c r="F222" s="0" t="s">
        <v>80</v>
      </c>
      <c r="G222" s="0" t="s">
        <v>81</v>
      </c>
      <c r="H222" s="0" t="s">
        <v>29</v>
      </c>
      <c r="I222" s="0" t="str">
        <f aca="false">VLOOKUP(H222,'rozdělení obchodníků'!B:D,3, )</f>
        <v>Čechy</v>
      </c>
      <c r="J222" s="4" t="n">
        <v>100000</v>
      </c>
    </row>
    <row r="223" customFormat="false" ht="15" hidden="false" customHeight="false" outlineLevel="0" collapsed="false">
      <c r="B223" s="2" t="n">
        <v>45938</v>
      </c>
      <c r="C223" s="3" t="n">
        <f aca="false">MONTH(B223)</f>
        <v>10</v>
      </c>
      <c r="D223" s="0" t="n">
        <v>20220013191</v>
      </c>
      <c r="E223" s="0" t="s">
        <v>79</v>
      </c>
      <c r="F223" s="0" t="s">
        <v>83</v>
      </c>
      <c r="G223" s="0" t="s">
        <v>81</v>
      </c>
      <c r="H223" s="0" t="s">
        <v>23</v>
      </c>
      <c r="I223" s="0" t="str">
        <f aca="false">VLOOKUP(H223,'rozdělení obchodníků'!B:D,3, )</f>
        <v>Čechy</v>
      </c>
      <c r="J223" s="4" t="n">
        <v>100000</v>
      </c>
    </row>
    <row r="224" customFormat="false" ht="15" hidden="false" customHeight="false" outlineLevel="0" collapsed="false">
      <c r="B224" s="2" t="n">
        <v>45938</v>
      </c>
      <c r="C224" s="3" t="n">
        <f aca="false">MONTH(B224)</f>
        <v>10</v>
      </c>
      <c r="D224" s="0" t="n">
        <v>20220013194</v>
      </c>
      <c r="E224" s="0" t="s">
        <v>79</v>
      </c>
      <c r="F224" s="0" t="s">
        <v>83</v>
      </c>
      <c r="G224" s="0" t="s">
        <v>81</v>
      </c>
      <c r="H224" s="0" t="s">
        <v>37</v>
      </c>
      <c r="I224" s="0" t="str">
        <f aca="false">VLOOKUP(H224,'rozdělení obchodníků'!B:D,3, )</f>
        <v>Morava</v>
      </c>
      <c r="J224" s="4" t="n">
        <v>1000000</v>
      </c>
    </row>
    <row r="225" customFormat="false" ht="15" hidden="false" customHeight="false" outlineLevel="0" collapsed="false">
      <c r="B225" s="2" t="n">
        <v>45938</v>
      </c>
      <c r="C225" s="3" t="n">
        <f aca="false">MONTH(B225)</f>
        <v>10</v>
      </c>
      <c r="D225" s="0" t="n">
        <v>20220013197</v>
      </c>
      <c r="E225" s="0" t="s">
        <v>79</v>
      </c>
      <c r="F225" s="0" t="s">
        <v>83</v>
      </c>
      <c r="G225" s="0" t="s">
        <v>81</v>
      </c>
      <c r="H225" s="0" t="s">
        <v>12</v>
      </c>
      <c r="I225" s="0" t="str">
        <f aca="false">VLOOKUP(H225,'rozdělení obchodníků'!B:D,3, )</f>
        <v>Morava</v>
      </c>
      <c r="J225" s="4" t="n">
        <v>600000</v>
      </c>
    </row>
    <row r="226" customFormat="false" ht="15" hidden="false" customHeight="false" outlineLevel="0" collapsed="false">
      <c r="B226" s="2" t="n">
        <v>45938</v>
      </c>
      <c r="C226" s="3" t="n">
        <f aca="false">MONTH(B226)</f>
        <v>10</v>
      </c>
      <c r="D226" s="0" t="n">
        <v>20220013200</v>
      </c>
      <c r="E226" s="0" t="s">
        <v>79</v>
      </c>
      <c r="F226" s="0" t="s">
        <v>83</v>
      </c>
      <c r="G226" s="0" t="s">
        <v>81</v>
      </c>
      <c r="H226" s="0" t="s">
        <v>23</v>
      </c>
      <c r="I226" s="0" t="str">
        <f aca="false">VLOOKUP(H226,'rozdělení obchodníků'!B:D,3, )</f>
        <v>Čechy</v>
      </c>
      <c r="J226" s="4" t="n">
        <v>750000</v>
      </c>
    </row>
    <row r="227" customFormat="false" ht="15" hidden="false" customHeight="false" outlineLevel="0" collapsed="false">
      <c r="B227" s="2" t="n">
        <v>45938</v>
      </c>
      <c r="C227" s="3" t="n">
        <f aca="false">MONTH(B227)</f>
        <v>10</v>
      </c>
      <c r="D227" s="0" t="n">
        <v>20220013203</v>
      </c>
      <c r="E227" s="0" t="s">
        <v>79</v>
      </c>
      <c r="F227" s="0" t="s">
        <v>83</v>
      </c>
      <c r="G227" s="0" t="s">
        <v>81</v>
      </c>
      <c r="H227" s="0" t="s">
        <v>29</v>
      </c>
      <c r="I227" s="0" t="str">
        <f aca="false">VLOOKUP(H227,'rozdělení obchodníků'!B:D,3, )</f>
        <v>Čechy</v>
      </c>
      <c r="J227" s="4" t="n">
        <v>1000000</v>
      </c>
    </row>
    <row r="228" customFormat="false" ht="15" hidden="false" customHeight="false" outlineLevel="0" collapsed="false">
      <c r="B228" s="2" t="n">
        <v>45938</v>
      </c>
      <c r="C228" s="3" t="n">
        <f aca="false">MONTH(B228)</f>
        <v>10</v>
      </c>
      <c r="D228" s="0" t="n">
        <v>20220013206</v>
      </c>
      <c r="E228" s="0" t="s">
        <v>79</v>
      </c>
      <c r="F228" s="0" t="s">
        <v>83</v>
      </c>
      <c r="G228" s="0" t="s">
        <v>81</v>
      </c>
      <c r="H228" s="0" t="s">
        <v>45</v>
      </c>
      <c r="I228" s="0" t="str">
        <f aca="false">VLOOKUP(H228,'rozdělení obchodníků'!B:D,3, )</f>
        <v>Čechy</v>
      </c>
      <c r="J228" s="4" t="n">
        <v>100000</v>
      </c>
    </row>
    <row r="229" customFormat="false" ht="15" hidden="false" customHeight="false" outlineLevel="0" collapsed="false">
      <c r="B229" s="2" t="n">
        <v>45938</v>
      </c>
      <c r="C229" s="3" t="n">
        <f aca="false">MONTH(B229)</f>
        <v>10</v>
      </c>
      <c r="D229" s="0" t="n">
        <v>20220013209</v>
      </c>
      <c r="E229" s="0" t="s">
        <v>79</v>
      </c>
      <c r="F229" s="0" t="s">
        <v>82</v>
      </c>
      <c r="G229" s="0" t="s">
        <v>81</v>
      </c>
      <c r="H229" s="0" t="s">
        <v>37</v>
      </c>
      <c r="I229" s="0" t="str">
        <f aca="false">VLOOKUP(H229,'rozdělení obchodníků'!B:D,3, )</f>
        <v>Morava</v>
      </c>
      <c r="J229" s="4" t="n">
        <v>2100000</v>
      </c>
    </row>
    <row r="230" customFormat="false" ht="15" hidden="false" customHeight="false" outlineLevel="0" collapsed="false">
      <c r="B230" s="2" t="n">
        <v>45938</v>
      </c>
      <c r="C230" s="3" t="n">
        <f aca="false">MONTH(B230)</f>
        <v>10</v>
      </c>
      <c r="D230" s="0" t="n">
        <v>20220013212</v>
      </c>
      <c r="E230" s="0" t="s">
        <v>79</v>
      </c>
      <c r="F230" s="0" t="s">
        <v>82</v>
      </c>
      <c r="G230" s="0" t="s">
        <v>81</v>
      </c>
      <c r="H230" s="0" t="s">
        <v>12</v>
      </c>
      <c r="I230" s="0" t="str">
        <f aca="false">VLOOKUP(H230,'rozdělení obchodníků'!B:D,3, )</f>
        <v>Morava</v>
      </c>
      <c r="J230" s="4" t="n">
        <v>100000</v>
      </c>
    </row>
    <row r="231" customFormat="false" ht="15" hidden="false" customHeight="false" outlineLevel="0" collapsed="false">
      <c r="B231" s="2" t="n">
        <v>45938</v>
      </c>
      <c r="C231" s="3" t="n">
        <f aca="false">MONTH(B231)</f>
        <v>10</v>
      </c>
      <c r="D231" s="0" t="n">
        <v>20220013215</v>
      </c>
      <c r="E231" s="0" t="s">
        <v>79</v>
      </c>
      <c r="F231" s="0" t="s">
        <v>80</v>
      </c>
      <c r="G231" s="0" t="s">
        <v>81</v>
      </c>
      <c r="H231" s="0" t="s">
        <v>45</v>
      </c>
      <c r="I231" s="0" t="str">
        <f aca="false">VLOOKUP(H231,'rozdělení obchodníků'!B:D,3, )</f>
        <v>Čechy</v>
      </c>
      <c r="J231" s="4" t="n">
        <v>100000</v>
      </c>
    </row>
    <row r="232" customFormat="false" ht="15" hidden="false" customHeight="false" outlineLevel="0" collapsed="false">
      <c r="B232" s="2" t="n">
        <v>45938</v>
      </c>
      <c r="C232" s="3" t="n">
        <f aca="false">MONTH(B232)</f>
        <v>10</v>
      </c>
      <c r="D232" s="0" t="n">
        <v>20220013218</v>
      </c>
      <c r="E232" s="0" t="s">
        <v>79</v>
      </c>
      <c r="F232" s="0" t="s">
        <v>80</v>
      </c>
      <c r="G232" s="0" t="s">
        <v>81</v>
      </c>
      <c r="H232" s="0" t="s">
        <v>67</v>
      </c>
      <c r="I232" s="0" t="str">
        <f aca="false">VLOOKUP(H232,'rozdělení obchodníků'!B:D,3, )</f>
        <v>Čechy</v>
      </c>
      <c r="J232" s="4" t="n">
        <v>100000</v>
      </c>
    </row>
    <row r="233" customFormat="false" ht="15" hidden="false" customHeight="false" outlineLevel="0" collapsed="false">
      <c r="B233" s="2" t="n">
        <v>45938</v>
      </c>
      <c r="C233" s="3" t="n">
        <f aca="false">MONTH(B233)</f>
        <v>10</v>
      </c>
      <c r="D233" s="0" t="n">
        <v>20220013221</v>
      </c>
      <c r="E233" s="0" t="s">
        <v>79</v>
      </c>
      <c r="F233" s="0" t="s">
        <v>80</v>
      </c>
      <c r="G233" s="0" t="s">
        <v>81</v>
      </c>
      <c r="H233" s="0" t="s">
        <v>65</v>
      </c>
      <c r="I233" s="0" t="str">
        <f aca="false">VLOOKUP(H233,'rozdělení obchodníků'!B:D,3, )</f>
        <v>Praha</v>
      </c>
      <c r="J233" s="4" t="n">
        <v>1000000</v>
      </c>
    </row>
    <row r="234" customFormat="false" ht="15" hidden="false" customHeight="false" outlineLevel="0" collapsed="false">
      <c r="B234" s="2" t="n">
        <v>45938</v>
      </c>
      <c r="C234" s="3" t="n">
        <f aca="false">MONTH(B234)</f>
        <v>10</v>
      </c>
      <c r="D234" s="0" t="n">
        <v>20220013224</v>
      </c>
      <c r="E234" s="0" t="s">
        <v>79</v>
      </c>
      <c r="F234" s="0" t="s">
        <v>82</v>
      </c>
      <c r="G234" s="0" t="s">
        <v>81</v>
      </c>
      <c r="H234" s="0" t="s">
        <v>29</v>
      </c>
      <c r="I234" s="0" t="str">
        <f aca="false">VLOOKUP(H234,'rozdělení obchodníků'!B:D,3, )</f>
        <v>Čechy</v>
      </c>
      <c r="J234" s="4" t="n">
        <v>100000</v>
      </c>
    </row>
    <row r="235" customFormat="false" ht="15" hidden="false" customHeight="false" outlineLevel="0" collapsed="false">
      <c r="B235" s="2" t="n">
        <v>45938</v>
      </c>
      <c r="C235" s="3" t="n">
        <f aca="false">MONTH(B235)</f>
        <v>10</v>
      </c>
      <c r="D235" s="0" t="n">
        <v>20220013227</v>
      </c>
      <c r="E235" s="0" t="s">
        <v>79</v>
      </c>
      <c r="F235" s="0" t="s">
        <v>83</v>
      </c>
      <c r="G235" s="0" t="s">
        <v>81</v>
      </c>
      <c r="H235" s="0" t="s">
        <v>45</v>
      </c>
      <c r="I235" s="0" t="str">
        <f aca="false">VLOOKUP(H235,'rozdělení obchodníků'!B:D,3, )</f>
        <v>Čechy</v>
      </c>
      <c r="J235" s="4" t="n">
        <v>100000</v>
      </c>
    </row>
    <row r="236" customFormat="false" ht="15" hidden="false" customHeight="false" outlineLevel="0" collapsed="false">
      <c r="B236" s="2" t="n">
        <v>45938</v>
      </c>
      <c r="C236" s="3" t="n">
        <f aca="false">MONTH(B236)</f>
        <v>10</v>
      </c>
      <c r="D236" s="0" t="n">
        <v>20220013230</v>
      </c>
      <c r="E236" s="0" t="s">
        <v>79</v>
      </c>
      <c r="F236" s="0" t="s">
        <v>82</v>
      </c>
      <c r="G236" s="0" t="s">
        <v>81</v>
      </c>
      <c r="H236" s="0" t="s">
        <v>37</v>
      </c>
      <c r="I236" s="0" t="str">
        <f aca="false">VLOOKUP(H236,'rozdělení obchodníků'!B:D,3, )</f>
        <v>Morava</v>
      </c>
      <c r="J236" s="4" t="n">
        <v>2000000</v>
      </c>
    </row>
    <row r="237" customFormat="false" ht="15" hidden="false" customHeight="false" outlineLevel="0" collapsed="false">
      <c r="B237" s="2" t="n">
        <v>45938</v>
      </c>
      <c r="C237" s="3" t="n">
        <f aca="false">MONTH(B237)</f>
        <v>10</v>
      </c>
      <c r="D237" s="0" t="n">
        <v>20220013233</v>
      </c>
      <c r="E237" s="0" t="s">
        <v>79</v>
      </c>
      <c r="F237" s="0" t="s">
        <v>80</v>
      </c>
      <c r="G237" s="0" t="s">
        <v>81</v>
      </c>
      <c r="H237" s="0" t="s">
        <v>12</v>
      </c>
      <c r="I237" s="0" t="str">
        <f aca="false">VLOOKUP(H237,'rozdělení obchodníků'!B:D,3, )</f>
        <v>Morava</v>
      </c>
      <c r="J237" s="4" t="n">
        <v>100000</v>
      </c>
    </row>
    <row r="238" customFormat="false" ht="15" hidden="false" customHeight="false" outlineLevel="0" collapsed="false">
      <c r="B238" s="2" t="n">
        <v>45938</v>
      </c>
      <c r="C238" s="3" t="n">
        <f aca="false">MONTH(B238)</f>
        <v>10</v>
      </c>
      <c r="D238" s="0" t="n">
        <v>20220013236</v>
      </c>
      <c r="E238" s="0" t="s">
        <v>79</v>
      </c>
      <c r="F238" s="0" t="s">
        <v>82</v>
      </c>
      <c r="G238" s="0" t="s">
        <v>81</v>
      </c>
      <c r="H238" s="0" t="s">
        <v>45</v>
      </c>
      <c r="I238" s="0" t="str">
        <f aca="false">VLOOKUP(H238,'rozdělení obchodníků'!B:D,3, )</f>
        <v>Čechy</v>
      </c>
      <c r="J238" s="4" t="n">
        <v>100000</v>
      </c>
    </row>
    <row r="239" customFormat="false" ht="15" hidden="false" customHeight="false" outlineLevel="0" collapsed="false">
      <c r="B239" s="2" t="n">
        <v>45938</v>
      </c>
      <c r="C239" s="3" t="n">
        <f aca="false">MONTH(B239)</f>
        <v>10</v>
      </c>
      <c r="D239" s="0" t="n">
        <v>20220013239</v>
      </c>
      <c r="E239" s="0" t="s">
        <v>79</v>
      </c>
      <c r="F239" s="0" t="s">
        <v>82</v>
      </c>
      <c r="G239" s="0" t="s">
        <v>81</v>
      </c>
      <c r="H239" s="0" t="s">
        <v>43</v>
      </c>
      <c r="I239" s="0" t="str">
        <f aca="false">VLOOKUP(H239,'rozdělení obchodníků'!B:D,3, )</f>
        <v>Praha</v>
      </c>
      <c r="J239" s="4" t="n">
        <v>100000</v>
      </c>
    </row>
    <row r="240" customFormat="false" ht="15" hidden="false" customHeight="false" outlineLevel="0" collapsed="false">
      <c r="B240" s="2" t="n">
        <v>45938</v>
      </c>
      <c r="C240" s="3" t="n">
        <f aca="false">MONTH(B240)</f>
        <v>10</v>
      </c>
      <c r="D240" s="0" t="n">
        <v>20220013242</v>
      </c>
      <c r="E240" s="0" t="s">
        <v>79</v>
      </c>
      <c r="F240" s="0" t="s">
        <v>82</v>
      </c>
      <c r="G240" s="0" t="s">
        <v>81</v>
      </c>
      <c r="H240" s="0" t="s">
        <v>45</v>
      </c>
      <c r="I240" s="0" t="str">
        <f aca="false">VLOOKUP(H240,'rozdělení obchodníků'!B:D,3, )</f>
        <v>Čechy</v>
      </c>
      <c r="J240" s="4" t="n">
        <v>750000</v>
      </c>
    </row>
    <row r="241" customFormat="false" ht="15" hidden="false" customHeight="false" outlineLevel="0" collapsed="false">
      <c r="B241" s="2" t="n">
        <v>45938</v>
      </c>
      <c r="C241" s="3" t="n">
        <f aca="false">MONTH(B241)</f>
        <v>10</v>
      </c>
      <c r="D241" s="0" t="n">
        <v>20220013245</v>
      </c>
      <c r="E241" s="0" t="s">
        <v>79</v>
      </c>
      <c r="F241" s="0" t="s">
        <v>82</v>
      </c>
      <c r="G241" s="0" t="s">
        <v>81</v>
      </c>
      <c r="H241" s="0" t="s">
        <v>25</v>
      </c>
      <c r="I241" s="0" t="str">
        <f aca="false">VLOOKUP(H241,'rozdělení obchodníků'!B:D,3, )</f>
        <v>Praha</v>
      </c>
      <c r="J241" s="4" t="n">
        <v>1000000</v>
      </c>
    </row>
    <row r="242" customFormat="false" ht="15" hidden="false" customHeight="false" outlineLevel="0" collapsed="false">
      <c r="B242" s="2" t="n">
        <v>45938</v>
      </c>
      <c r="C242" s="3" t="n">
        <f aca="false">MONTH(B242)</f>
        <v>10</v>
      </c>
      <c r="D242" s="0" t="n">
        <v>20220013248</v>
      </c>
      <c r="E242" s="0" t="s">
        <v>79</v>
      </c>
      <c r="F242" s="0" t="s">
        <v>82</v>
      </c>
      <c r="G242" s="0" t="s">
        <v>81</v>
      </c>
      <c r="H242" s="0" t="s">
        <v>43</v>
      </c>
      <c r="I242" s="0" t="str">
        <f aca="false">VLOOKUP(H242,'rozdělení obchodníků'!B:D,3, )</f>
        <v>Praha</v>
      </c>
      <c r="J242" s="4" t="n">
        <v>750000</v>
      </c>
    </row>
    <row r="243" customFormat="false" ht="15" hidden="false" customHeight="false" outlineLevel="0" collapsed="false">
      <c r="B243" s="2" t="n">
        <v>45938</v>
      </c>
      <c r="C243" s="3" t="n">
        <f aca="false">MONTH(B243)</f>
        <v>10</v>
      </c>
      <c r="D243" s="0" t="n">
        <v>20220013251</v>
      </c>
      <c r="E243" s="0" t="s">
        <v>79</v>
      </c>
      <c r="F243" s="0" t="s">
        <v>82</v>
      </c>
      <c r="G243" s="0" t="s">
        <v>81</v>
      </c>
      <c r="H243" s="0" t="s">
        <v>23</v>
      </c>
      <c r="I243" s="0" t="str">
        <f aca="false">VLOOKUP(H243,'rozdělení obchodníků'!B:D,3, )</f>
        <v>Čechy</v>
      </c>
      <c r="J243" s="4" t="n">
        <v>100000</v>
      </c>
    </row>
    <row r="244" customFormat="false" ht="15" hidden="false" customHeight="false" outlineLevel="0" collapsed="false">
      <c r="B244" s="2" t="n">
        <v>45938</v>
      </c>
      <c r="C244" s="3" t="n">
        <f aca="false">MONTH(B244)</f>
        <v>10</v>
      </c>
      <c r="D244" s="0" t="n">
        <v>20220013254</v>
      </c>
      <c r="E244" s="0" t="s">
        <v>79</v>
      </c>
      <c r="F244" s="0" t="s">
        <v>82</v>
      </c>
      <c r="G244" s="0" t="s">
        <v>81</v>
      </c>
      <c r="H244" s="0" t="s">
        <v>37</v>
      </c>
      <c r="I244" s="0" t="str">
        <f aca="false">VLOOKUP(H244,'rozdělení obchodníků'!B:D,3, )</f>
        <v>Morava</v>
      </c>
      <c r="J244" s="4" t="n">
        <v>750000</v>
      </c>
    </row>
    <row r="245" customFormat="false" ht="15" hidden="false" customHeight="false" outlineLevel="0" collapsed="false">
      <c r="B245" s="2" t="n">
        <v>45938</v>
      </c>
      <c r="C245" s="3" t="n">
        <f aca="false">MONTH(B245)</f>
        <v>10</v>
      </c>
      <c r="D245" s="0" t="n">
        <v>20220013257</v>
      </c>
      <c r="E245" s="0" t="s">
        <v>79</v>
      </c>
      <c r="F245" s="0" t="s">
        <v>82</v>
      </c>
      <c r="G245" s="0" t="s">
        <v>81</v>
      </c>
      <c r="H245" s="0" t="s">
        <v>12</v>
      </c>
      <c r="I245" s="0" t="str">
        <f aca="false">VLOOKUP(H245,'rozdělení obchodníků'!B:D,3, )</f>
        <v>Morava</v>
      </c>
      <c r="J245" s="4" t="n">
        <v>1000000</v>
      </c>
    </row>
    <row r="246" customFormat="false" ht="15" hidden="false" customHeight="false" outlineLevel="0" collapsed="false">
      <c r="B246" s="2" t="n">
        <v>45938</v>
      </c>
      <c r="C246" s="3" t="n">
        <f aca="false">MONTH(B246)</f>
        <v>10</v>
      </c>
      <c r="D246" s="0" t="n">
        <v>20220013260</v>
      </c>
      <c r="E246" s="0" t="s">
        <v>79</v>
      </c>
      <c r="F246" s="0" t="s">
        <v>80</v>
      </c>
      <c r="G246" s="0" t="s">
        <v>81</v>
      </c>
      <c r="H246" s="0" t="s">
        <v>12</v>
      </c>
      <c r="I246" s="0" t="str">
        <f aca="false">VLOOKUP(H246,'rozdělení obchodníků'!B:D,3, )</f>
        <v>Morava</v>
      </c>
      <c r="J246" s="4" t="n">
        <v>100000</v>
      </c>
    </row>
    <row r="247" customFormat="false" ht="15" hidden="false" customHeight="false" outlineLevel="0" collapsed="false">
      <c r="B247" s="2" t="n">
        <v>45938</v>
      </c>
      <c r="C247" s="3" t="n">
        <f aca="false">MONTH(B247)</f>
        <v>10</v>
      </c>
      <c r="D247" s="0" t="n">
        <v>20220013263</v>
      </c>
      <c r="E247" s="0" t="s">
        <v>79</v>
      </c>
      <c r="F247" s="0" t="s">
        <v>80</v>
      </c>
      <c r="G247" s="0" t="s">
        <v>81</v>
      </c>
      <c r="H247" s="0" t="s">
        <v>45</v>
      </c>
      <c r="I247" s="0" t="str">
        <f aca="false">VLOOKUP(H247,'rozdělení obchodníků'!B:D,3, )</f>
        <v>Čechy</v>
      </c>
      <c r="J247" s="4" t="n">
        <v>100000</v>
      </c>
    </row>
    <row r="248" customFormat="false" ht="15" hidden="false" customHeight="false" outlineLevel="0" collapsed="false">
      <c r="B248" s="2" t="n">
        <v>45938</v>
      </c>
      <c r="C248" s="3" t="n">
        <f aca="false">MONTH(B248)</f>
        <v>10</v>
      </c>
      <c r="D248" s="0" t="n">
        <v>20220013266</v>
      </c>
      <c r="E248" s="0" t="s">
        <v>79</v>
      </c>
      <c r="F248" s="0" t="s">
        <v>82</v>
      </c>
      <c r="G248" s="0" t="s">
        <v>81</v>
      </c>
      <c r="H248" s="0" t="s">
        <v>43</v>
      </c>
      <c r="I248" s="0" t="str">
        <f aca="false">VLOOKUP(H248,'rozdělení obchodníků'!B:D,3, )</f>
        <v>Praha</v>
      </c>
      <c r="J248" s="4" t="n">
        <v>100000</v>
      </c>
    </row>
    <row r="249" customFormat="false" ht="15" hidden="false" customHeight="false" outlineLevel="0" collapsed="false">
      <c r="B249" s="2" t="n">
        <v>45938</v>
      </c>
      <c r="C249" s="3" t="n">
        <f aca="false">MONTH(B249)</f>
        <v>10</v>
      </c>
      <c r="D249" s="0" t="n">
        <v>20220013269</v>
      </c>
      <c r="E249" s="0" t="s">
        <v>79</v>
      </c>
      <c r="F249" s="0" t="s">
        <v>82</v>
      </c>
      <c r="G249" s="0" t="s">
        <v>81</v>
      </c>
      <c r="H249" s="0" t="s">
        <v>45</v>
      </c>
      <c r="I249" s="0" t="str">
        <f aca="false">VLOOKUP(H249,'rozdělení obchodníků'!B:D,3, )</f>
        <v>Čechy</v>
      </c>
      <c r="J249" s="4" t="n">
        <v>1000000</v>
      </c>
    </row>
    <row r="250" customFormat="false" ht="15" hidden="false" customHeight="false" outlineLevel="0" collapsed="false">
      <c r="B250" s="2" t="n">
        <v>45938</v>
      </c>
      <c r="C250" s="3" t="n">
        <f aca="false">MONTH(B250)</f>
        <v>10</v>
      </c>
      <c r="D250" s="0" t="n">
        <v>20220013272</v>
      </c>
      <c r="E250" s="0" t="s">
        <v>79</v>
      </c>
      <c r="F250" s="0" t="s">
        <v>82</v>
      </c>
      <c r="G250" s="0" t="s">
        <v>81</v>
      </c>
      <c r="H250" s="0" t="s">
        <v>25</v>
      </c>
      <c r="I250" s="0" t="str">
        <f aca="false">VLOOKUP(H250,'rozdělení obchodníků'!B:D,3, )</f>
        <v>Praha</v>
      </c>
      <c r="J250" s="4" t="n">
        <v>100000</v>
      </c>
    </row>
    <row r="251" customFormat="false" ht="15" hidden="false" customHeight="false" outlineLevel="0" collapsed="false">
      <c r="B251" s="2" t="n">
        <v>45938</v>
      </c>
      <c r="C251" s="3" t="n">
        <f aca="false">MONTH(B251)</f>
        <v>10</v>
      </c>
      <c r="D251" s="0" t="n">
        <v>20220013275</v>
      </c>
      <c r="E251" s="0" t="s">
        <v>79</v>
      </c>
      <c r="F251" s="0" t="s">
        <v>82</v>
      </c>
      <c r="G251" s="0" t="s">
        <v>81</v>
      </c>
      <c r="H251" s="0" t="s">
        <v>43</v>
      </c>
      <c r="I251" s="0" t="str">
        <f aca="false">VLOOKUP(H251,'rozdělení obchodníků'!B:D,3, )</f>
        <v>Praha</v>
      </c>
      <c r="J251" s="4" t="n">
        <v>750000</v>
      </c>
    </row>
    <row r="252" customFormat="false" ht="15" hidden="false" customHeight="false" outlineLevel="0" collapsed="false">
      <c r="B252" s="2" t="n">
        <v>45938</v>
      </c>
      <c r="C252" s="3" t="n">
        <f aca="false">MONTH(B252)</f>
        <v>10</v>
      </c>
      <c r="D252" s="0" t="n">
        <v>20220013278</v>
      </c>
      <c r="E252" s="0" t="s">
        <v>79</v>
      </c>
      <c r="F252" s="0" t="s">
        <v>82</v>
      </c>
      <c r="G252" s="0" t="s">
        <v>81</v>
      </c>
      <c r="H252" s="0" t="s">
        <v>23</v>
      </c>
      <c r="I252" s="0" t="str">
        <f aca="false">VLOOKUP(H252,'rozdělení obchodníků'!B:D,3, )</f>
        <v>Čechy</v>
      </c>
      <c r="J252" s="4" t="n">
        <v>100000</v>
      </c>
    </row>
    <row r="253" customFormat="false" ht="15" hidden="false" customHeight="false" outlineLevel="0" collapsed="false">
      <c r="B253" s="2" t="n">
        <v>45938</v>
      </c>
      <c r="C253" s="3" t="n">
        <f aca="false">MONTH(B253)</f>
        <v>10</v>
      </c>
      <c r="D253" s="0" t="n">
        <v>20220013281</v>
      </c>
      <c r="E253" s="0" t="s">
        <v>79</v>
      </c>
      <c r="F253" s="0" t="s">
        <v>80</v>
      </c>
      <c r="G253" s="0" t="s">
        <v>81</v>
      </c>
      <c r="H253" s="0" t="s">
        <v>37</v>
      </c>
      <c r="I253" s="0" t="str">
        <f aca="false">VLOOKUP(H253,'rozdělení obchodníků'!B:D,3, )</f>
        <v>Morava</v>
      </c>
      <c r="J253" s="4" t="n">
        <v>100000</v>
      </c>
    </row>
    <row r="254" customFormat="false" ht="15" hidden="false" customHeight="false" outlineLevel="0" collapsed="false">
      <c r="B254" s="2" t="n">
        <v>45938</v>
      </c>
      <c r="C254" s="3" t="n">
        <f aca="false">MONTH(B254)</f>
        <v>10</v>
      </c>
      <c r="D254" s="0" t="n">
        <v>20220013284</v>
      </c>
      <c r="E254" s="0" t="s">
        <v>79</v>
      </c>
      <c r="F254" s="0" t="s">
        <v>80</v>
      </c>
      <c r="G254" s="0" t="s">
        <v>81</v>
      </c>
      <c r="H254" s="0" t="s">
        <v>12</v>
      </c>
      <c r="I254" s="0" t="str">
        <f aca="false">VLOOKUP(H254,'rozdělení obchodníků'!B:D,3, )</f>
        <v>Morava</v>
      </c>
      <c r="J254" s="4" t="n">
        <v>750000</v>
      </c>
    </row>
    <row r="255" customFormat="false" ht="15" hidden="false" customHeight="false" outlineLevel="0" collapsed="false">
      <c r="B255" s="2" t="n">
        <v>45938</v>
      </c>
      <c r="C255" s="3" t="n">
        <f aca="false">MONTH(B255)</f>
        <v>10</v>
      </c>
      <c r="D255" s="0" t="n">
        <v>20220013287</v>
      </c>
      <c r="E255" s="0" t="s">
        <v>79</v>
      </c>
      <c r="F255" s="0" t="s">
        <v>80</v>
      </c>
      <c r="G255" s="0" t="s">
        <v>81</v>
      </c>
      <c r="H255" s="0" t="s">
        <v>29</v>
      </c>
      <c r="I255" s="0" t="str">
        <f aca="false">VLOOKUP(H255,'rozdělení obchodníků'!B:D,3, )</f>
        <v>Čechy</v>
      </c>
      <c r="J255" s="4" t="n">
        <v>450000</v>
      </c>
    </row>
    <row r="256" customFormat="false" ht="15" hidden="false" customHeight="false" outlineLevel="0" collapsed="false">
      <c r="B256" s="2" t="n">
        <v>45938</v>
      </c>
      <c r="C256" s="3" t="n">
        <f aca="false">MONTH(B256)</f>
        <v>10</v>
      </c>
      <c r="D256" s="0" t="n">
        <v>20220013290</v>
      </c>
      <c r="E256" s="0" t="s">
        <v>79</v>
      </c>
      <c r="F256" s="0" t="s">
        <v>82</v>
      </c>
      <c r="G256" s="0" t="s">
        <v>81</v>
      </c>
      <c r="H256" s="0" t="s">
        <v>17</v>
      </c>
      <c r="I256" s="0" t="str">
        <f aca="false">VLOOKUP(H256,'rozdělení obchodníků'!B:D,3, )</f>
        <v>Praha</v>
      </c>
      <c r="J256" s="4" t="n">
        <v>1000000</v>
      </c>
    </row>
    <row r="257" customFormat="false" ht="15" hidden="false" customHeight="false" outlineLevel="0" collapsed="false">
      <c r="B257" s="2" t="n">
        <v>45938</v>
      </c>
      <c r="C257" s="3" t="n">
        <f aca="false">MONTH(B257)</f>
        <v>10</v>
      </c>
      <c r="D257" s="0" t="n">
        <v>20220013293</v>
      </c>
      <c r="E257" s="0" t="s">
        <v>79</v>
      </c>
      <c r="F257" s="0" t="s">
        <v>82</v>
      </c>
      <c r="G257" s="0" t="s">
        <v>81</v>
      </c>
      <c r="H257" s="0" t="s">
        <v>37</v>
      </c>
      <c r="I257" s="0" t="str">
        <f aca="false">VLOOKUP(H257,'rozdělení obchodníků'!B:D,3, )</f>
        <v>Morava</v>
      </c>
      <c r="J257" s="4" t="n">
        <v>100000</v>
      </c>
    </row>
    <row r="258" customFormat="false" ht="15" hidden="false" customHeight="false" outlineLevel="0" collapsed="false">
      <c r="B258" s="2" t="n">
        <v>45938</v>
      </c>
      <c r="C258" s="3" t="n">
        <f aca="false">MONTH(B258)</f>
        <v>10</v>
      </c>
      <c r="D258" s="0" t="n">
        <v>20220013296</v>
      </c>
      <c r="E258" s="0" t="s">
        <v>79</v>
      </c>
      <c r="F258" s="0" t="s">
        <v>82</v>
      </c>
      <c r="G258" s="0" t="s">
        <v>81</v>
      </c>
      <c r="H258" s="0" t="s">
        <v>12</v>
      </c>
      <c r="I258" s="0" t="str">
        <f aca="false">VLOOKUP(H258,'rozdělení obchodníků'!B:D,3, )</f>
        <v>Morava</v>
      </c>
      <c r="J258" s="4" t="n">
        <v>100000</v>
      </c>
    </row>
    <row r="259" customFormat="false" ht="15" hidden="false" customHeight="false" outlineLevel="0" collapsed="false">
      <c r="B259" s="2" t="n">
        <v>45938</v>
      </c>
      <c r="C259" s="3" t="n">
        <f aca="false">MONTH(B259)</f>
        <v>10</v>
      </c>
      <c r="D259" s="0" t="n">
        <v>20220013299</v>
      </c>
      <c r="E259" s="0" t="s">
        <v>79</v>
      </c>
      <c r="F259" s="0" t="s">
        <v>82</v>
      </c>
      <c r="G259" s="0" t="s">
        <v>81</v>
      </c>
      <c r="H259" s="0" t="s">
        <v>69</v>
      </c>
      <c r="I259" s="0" t="str">
        <f aca="false">VLOOKUP(H259,'rozdělení obchodníků'!B:D,3, )</f>
        <v>Praha</v>
      </c>
      <c r="J259" s="4" t="n">
        <v>750000</v>
      </c>
    </row>
    <row r="260" customFormat="false" ht="15" hidden="false" customHeight="false" outlineLevel="0" collapsed="false">
      <c r="B260" s="2" t="n">
        <v>45938</v>
      </c>
      <c r="C260" s="3" t="n">
        <f aca="false">MONTH(B260)</f>
        <v>10</v>
      </c>
      <c r="D260" s="0" t="n">
        <v>20220013302</v>
      </c>
      <c r="E260" s="0" t="s">
        <v>79</v>
      </c>
      <c r="F260" s="0" t="s">
        <v>80</v>
      </c>
      <c r="G260" s="0" t="s">
        <v>81</v>
      </c>
      <c r="H260" s="0" t="s">
        <v>25</v>
      </c>
      <c r="I260" s="0" t="str">
        <f aca="false">VLOOKUP(H260,'rozdělení obchodníků'!B:D,3, )</f>
        <v>Praha</v>
      </c>
      <c r="J260" s="4" t="n">
        <v>100000</v>
      </c>
    </row>
    <row r="261" customFormat="false" ht="15" hidden="false" customHeight="false" outlineLevel="0" collapsed="false">
      <c r="B261" s="2" t="n">
        <v>45938</v>
      </c>
      <c r="C261" s="3" t="n">
        <f aca="false">MONTH(B261)</f>
        <v>10</v>
      </c>
      <c r="D261" s="0" t="n">
        <v>20220013305</v>
      </c>
      <c r="E261" s="0" t="s">
        <v>79</v>
      </c>
      <c r="F261" s="0" t="s">
        <v>80</v>
      </c>
      <c r="G261" s="0" t="s">
        <v>81</v>
      </c>
      <c r="H261" s="0" t="s">
        <v>25</v>
      </c>
      <c r="I261" s="0" t="str">
        <f aca="false">VLOOKUP(H261,'rozdělení obchodníků'!B:D,3, )</f>
        <v>Praha</v>
      </c>
      <c r="J261" s="4" t="n">
        <v>750000</v>
      </c>
    </row>
    <row r="262" customFormat="false" ht="15" hidden="false" customHeight="false" outlineLevel="0" collapsed="false">
      <c r="B262" s="2" t="n">
        <v>45938</v>
      </c>
      <c r="C262" s="3" t="n">
        <f aca="false">MONTH(B262)</f>
        <v>10</v>
      </c>
      <c r="D262" s="0" t="n">
        <v>20220013308</v>
      </c>
      <c r="E262" s="0" t="s">
        <v>79</v>
      </c>
      <c r="F262" s="0" t="s">
        <v>80</v>
      </c>
      <c r="G262" s="0" t="s">
        <v>81</v>
      </c>
      <c r="H262" s="0" t="s">
        <v>25</v>
      </c>
      <c r="I262" s="0" t="str">
        <f aca="false">VLOOKUP(H262,'rozdělení obchodníků'!B:D,3, )</f>
        <v>Praha</v>
      </c>
      <c r="J262" s="4" t="n">
        <v>100000</v>
      </c>
    </row>
    <row r="263" customFormat="false" ht="15" hidden="false" customHeight="false" outlineLevel="0" collapsed="false">
      <c r="B263" s="2" t="n">
        <v>45938</v>
      </c>
      <c r="C263" s="3" t="n">
        <f aca="false">MONTH(B263)</f>
        <v>10</v>
      </c>
      <c r="D263" s="0" t="n">
        <v>20220013311</v>
      </c>
      <c r="E263" s="0" t="s">
        <v>79</v>
      </c>
      <c r="F263" s="0" t="s">
        <v>80</v>
      </c>
      <c r="G263" s="0" t="s">
        <v>81</v>
      </c>
      <c r="H263" s="0" t="s">
        <v>25</v>
      </c>
      <c r="I263" s="0" t="str">
        <f aca="false">VLOOKUP(H263,'rozdělení obchodníků'!B:D,3, )</f>
        <v>Praha</v>
      </c>
      <c r="J263" s="4" t="n">
        <v>750000</v>
      </c>
    </row>
    <row r="264" customFormat="false" ht="15" hidden="false" customHeight="false" outlineLevel="0" collapsed="false">
      <c r="B264" s="2" t="n">
        <v>45938</v>
      </c>
      <c r="C264" s="3" t="n">
        <f aca="false">MONTH(B264)</f>
        <v>10</v>
      </c>
      <c r="D264" s="0" t="n">
        <v>20220013314</v>
      </c>
      <c r="E264" s="0" t="s">
        <v>79</v>
      </c>
      <c r="F264" s="0" t="s">
        <v>80</v>
      </c>
      <c r="G264" s="0" t="s">
        <v>81</v>
      </c>
      <c r="H264" s="0" t="s">
        <v>7</v>
      </c>
      <c r="I264" s="0" t="str">
        <f aca="false">VLOOKUP(H264,'rozdělení obchodníků'!B:D,3, )</f>
        <v>Praha</v>
      </c>
      <c r="J264" s="4" t="n">
        <v>750000</v>
      </c>
    </row>
    <row r="265" customFormat="false" ht="15" hidden="false" customHeight="false" outlineLevel="0" collapsed="false">
      <c r="B265" s="2" t="n">
        <v>45938</v>
      </c>
      <c r="C265" s="3" t="n">
        <f aca="false">MONTH(B265)</f>
        <v>10</v>
      </c>
      <c r="D265" s="0" t="n">
        <v>20220013317</v>
      </c>
      <c r="E265" s="0" t="s">
        <v>79</v>
      </c>
      <c r="F265" s="0" t="s">
        <v>80</v>
      </c>
      <c r="G265" s="0" t="s">
        <v>81</v>
      </c>
      <c r="H265" s="0" t="s">
        <v>25</v>
      </c>
      <c r="I265" s="0" t="str">
        <f aca="false">VLOOKUP(H265,'rozdělení obchodníků'!B:D,3, )</f>
        <v>Praha</v>
      </c>
      <c r="J265" s="4" t="n">
        <v>1000000</v>
      </c>
    </row>
    <row r="266" customFormat="false" ht="15" hidden="false" customHeight="false" outlineLevel="0" collapsed="false">
      <c r="B266" s="2" t="n">
        <v>45938</v>
      </c>
      <c r="C266" s="3" t="n">
        <f aca="false">MONTH(B266)</f>
        <v>10</v>
      </c>
      <c r="D266" s="0" t="n">
        <v>20220013320</v>
      </c>
      <c r="E266" s="0" t="s">
        <v>79</v>
      </c>
      <c r="F266" s="0" t="s">
        <v>80</v>
      </c>
      <c r="G266" s="0" t="s">
        <v>81</v>
      </c>
      <c r="H266" s="0" t="s">
        <v>25</v>
      </c>
      <c r="I266" s="0" t="str">
        <f aca="false">VLOOKUP(H266,'rozdělení obchodníků'!B:D,3, )</f>
        <v>Praha</v>
      </c>
      <c r="J266" s="4" t="n">
        <v>100000</v>
      </c>
    </row>
    <row r="267" customFormat="false" ht="15" hidden="false" customHeight="false" outlineLevel="0" collapsed="false">
      <c r="B267" s="2" t="n">
        <v>45938</v>
      </c>
      <c r="C267" s="3" t="n">
        <f aca="false">MONTH(B267)</f>
        <v>10</v>
      </c>
      <c r="D267" s="0" t="n">
        <v>20220013323</v>
      </c>
      <c r="E267" s="0" t="s">
        <v>79</v>
      </c>
      <c r="F267" s="0" t="s">
        <v>80</v>
      </c>
      <c r="G267" s="0" t="s">
        <v>81</v>
      </c>
      <c r="H267" s="0" t="s">
        <v>25</v>
      </c>
      <c r="I267" s="0" t="str">
        <f aca="false">VLOOKUP(H267,'rozdělení obchodníků'!B:D,3, )</f>
        <v>Praha</v>
      </c>
      <c r="J267" s="4" t="n">
        <v>750000</v>
      </c>
    </row>
    <row r="268" customFormat="false" ht="15" hidden="false" customHeight="false" outlineLevel="0" collapsed="false">
      <c r="B268" s="2" t="n">
        <v>45938</v>
      </c>
      <c r="C268" s="3" t="n">
        <f aca="false">MONTH(B268)</f>
        <v>10</v>
      </c>
      <c r="D268" s="0" t="n">
        <v>20220013326</v>
      </c>
      <c r="E268" s="0" t="s">
        <v>79</v>
      </c>
      <c r="F268" s="0" t="s">
        <v>80</v>
      </c>
      <c r="G268" s="0" t="s">
        <v>81</v>
      </c>
      <c r="H268" s="0" t="s">
        <v>25</v>
      </c>
      <c r="I268" s="0" t="str">
        <f aca="false">VLOOKUP(H268,'rozdělení obchodníků'!B:D,3, )</f>
        <v>Praha</v>
      </c>
      <c r="J268" s="4" t="n">
        <v>750000</v>
      </c>
    </row>
    <row r="269" customFormat="false" ht="15" hidden="false" customHeight="false" outlineLevel="0" collapsed="false">
      <c r="B269" s="2" t="n">
        <v>45938</v>
      </c>
      <c r="C269" s="3" t="n">
        <f aca="false">MONTH(B269)</f>
        <v>10</v>
      </c>
      <c r="D269" s="0" t="n">
        <v>20220013329</v>
      </c>
      <c r="E269" s="0" t="s">
        <v>79</v>
      </c>
      <c r="F269" s="0" t="s">
        <v>80</v>
      </c>
      <c r="G269" s="0" t="s">
        <v>81</v>
      </c>
      <c r="H269" s="0" t="s">
        <v>25</v>
      </c>
      <c r="I269" s="0" t="str">
        <f aca="false">VLOOKUP(H269,'rozdělení obchodníků'!B:D,3, )</f>
        <v>Praha</v>
      </c>
      <c r="J269" s="4" t="n">
        <v>1000000</v>
      </c>
    </row>
    <row r="270" customFormat="false" ht="15" hidden="false" customHeight="false" outlineLevel="0" collapsed="false">
      <c r="B270" s="2" t="n">
        <v>45938</v>
      </c>
      <c r="C270" s="3" t="n">
        <f aca="false">MONTH(B270)</f>
        <v>10</v>
      </c>
      <c r="D270" s="0" t="n">
        <v>20220013332</v>
      </c>
      <c r="E270" s="0" t="s">
        <v>79</v>
      </c>
      <c r="F270" s="0" t="s">
        <v>82</v>
      </c>
      <c r="G270" s="0" t="s">
        <v>81</v>
      </c>
      <c r="H270" s="0" t="s">
        <v>25</v>
      </c>
      <c r="I270" s="0" t="str">
        <f aca="false">VLOOKUP(H270,'rozdělení obchodníků'!B:D,3, )</f>
        <v>Praha</v>
      </c>
      <c r="J270" s="4" t="n">
        <v>1000000</v>
      </c>
    </row>
    <row r="271" customFormat="false" ht="15" hidden="false" customHeight="false" outlineLevel="0" collapsed="false">
      <c r="B271" s="2" t="n">
        <v>45938</v>
      </c>
      <c r="C271" s="3" t="n">
        <f aca="false">MONTH(B271)</f>
        <v>10</v>
      </c>
      <c r="D271" s="0" t="n">
        <v>20220013335</v>
      </c>
      <c r="E271" s="0" t="s">
        <v>79</v>
      </c>
      <c r="F271" s="0" t="s">
        <v>80</v>
      </c>
      <c r="G271" s="0" t="s">
        <v>81</v>
      </c>
      <c r="H271" s="0" t="s">
        <v>25</v>
      </c>
      <c r="I271" s="0" t="str">
        <f aca="false">VLOOKUP(H271,'rozdělení obchodníků'!B:D,3, )</f>
        <v>Praha</v>
      </c>
      <c r="J271" s="4" t="n">
        <v>100000</v>
      </c>
    </row>
    <row r="272" customFormat="false" ht="15" hidden="false" customHeight="false" outlineLevel="0" collapsed="false">
      <c r="B272" s="2" t="n">
        <v>45938</v>
      </c>
      <c r="C272" s="3" t="n">
        <f aca="false">MONTH(B272)</f>
        <v>10</v>
      </c>
      <c r="D272" s="0" t="n">
        <v>20220013338</v>
      </c>
      <c r="E272" s="0" t="s">
        <v>79</v>
      </c>
      <c r="F272" s="0" t="s">
        <v>82</v>
      </c>
      <c r="G272" s="0" t="s">
        <v>81</v>
      </c>
      <c r="H272" s="0" t="s">
        <v>25</v>
      </c>
      <c r="I272" s="0" t="str">
        <f aca="false">VLOOKUP(H272,'rozdělení obchodníků'!B:D,3, )</f>
        <v>Praha</v>
      </c>
      <c r="J272" s="4" t="n">
        <v>600000</v>
      </c>
    </row>
    <row r="273" customFormat="false" ht="15" hidden="false" customHeight="false" outlineLevel="0" collapsed="false">
      <c r="B273" s="2" t="n">
        <v>45938</v>
      </c>
      <c r="C273" s="3" t="n">
        <f aca="false">MONTH(B273)</f>
        <v>10</v>
      </c>
      <c r="D273" s="0" t="n">
        <v>20220013341</v>
      </c>
      <c r="E273" s="0" t="s">
        <v>79</v>
      </c>
      <c r="F273" s="0" t="s">
        <v>82</v>
      </c>
      <c r="G273" s="0" t="s">
        <v>81</v>
      </c>
      <c r="H273" s="0" t="s">
        <v>19</v>
      </c>
      <c r="I273" s="0" t="str">
        <f aca="false">VLOOKUP(H273,'rozdělení obchodníků'!B:D,3, )</f>
        <v>Čechy</v>
      </c>
      <c r="J273" s="4" t="n">
        <v>750000</v>
      </c>
    </row>
    <row r="274" customFormat="false" ht="15" hidden="false" customHeight="false" outlineLevel="0" collapsed="false">
      <c r="B274" s="2" t="n">
        <v>45938</v>
      </c>
      <c r="C274" s="3" t="n">
        <f aca="false">MONTH(B274)</f>
        <v>10</v>
      </c>
      <c r="D274" s="0" t="n">
        <v>20220013344</v>
      </c>
      <c r="E274" s="0" t="s">
        <v>79</v>
      </c>
      <c r="F274" s="0" t="s">
        <v>80</v>
      </c>
      <c r="G274" s="0" t="s">
        <v>81</v>
      </c>
      <c r="H274" s="0" t="s">
        <v>19</v>
      </c>
      <c r="I274" s="0" t="str">
        <f aca="false">VLOOKUP(H274,'rozdělení obchodníků'!B:D,3, )</f>
        <v>Čechy</v>
      </c>
      <c r="J274" s="4" t="n">
        <v>1000000</v>
      </c>
    </row>
    <row r="275" customFormat="false" ht="15" hidden="false" customHeight="false" outlineLevel="0" collapsed="false">
      <c r="B275" s="2" t="n">
        <v>45938</v>
      </c>
      <c r="C275" s="3" t="n">
        <f aca="false">MONTH(B275)</f>
        <v>10</v>
      </c>
      <c r="D275" s="0" t="n">
        <v>20220013347</v>
      </c>
      <c r="E275" s="0" t="s">
        <v>79</v>
      </c>
      <c r="F275" s="0" t="s">
        <v>80</v>
      </c>
      <c r="G275" s="0" t="s">
        <v>81</v>
      </c>
      <c r="H275" s="0" t="s">
        <v>19</v>
      </c>
      <c r="I275" s="0" t="str">
        <f aca="false">VLOOKUP(H275,'rozdělení obchodníků'!B:D,3, )</f>
        <v>Čechy</v>
      </c>
      <c r="J275" s="4" t="n">
        <v>100000</v>
      </c>
    </row>
    <row r="276" customFormat="false" ht="15" hidden="false" customHeight="false" outlineLevel="0" collapsed="false">
      <c r="B276" s="2" t="n">
        <v>45938</v>
      </c>
      <c r="C276" s="3" t="n">
        <f aca="false">MONTH(B276)</f>
        <v>10</v>
      </c>
      <c r="D276" s="0" t="n">
        <v>20220013350</v>
      </c>
      <c r="E276" s="0" t="s">
        <v>79</v>
      </c>
      <c r="F276" s="0" t="s">
        <v>82</v>
      </c>
      <c r="G276" s="0" t="s">
        <v>81</v>
      </c>
      <c r="H276" s="0" t="s">
        <v>19</v>
      </c>
      <c r="I276" s="0" t="str">
        <f aca="false">VLOOKUP(H276,'rozdělení obchodníků'!B:D,3, )</f>
        <v>Čechy</v>
      </c>
      <c r="J276" s="4" t="n">
        <v>750000</v>
      </c>
    </row>
    <row r="277" customFormat="false" ht="15" hidden="false" customHeight="false" outlineLevel="0" collapsed="false">
      <c r="B277" s="2" t="n">
        <v>45938</v>
      </c>
      <c r="C277" s="3" t="n">
        <f aca="false">MONTH(B277)</f>
        <v>10</v>
      </c>
      <c r="D277" s="0" t="n">
        <v>20220013353</v>
      </c>
      <c r="E277" s="0" t="s">
        <v>79</v>
      </c>
      <c r="F277" s="0" t="s">
        <v>80</v>
      </c>
      <c r="G277" s="0" t="s">
        <v>81</v>
      </c>
      <c r="H277" s="0" t="s">
        <v>19</v>
      </c>
      <c r="I277" s="0" t="str">
        <f aca="false">VLOOKUP(H277,'rozdělení obchodníků'!B:D,3, )</f>
        <v>Čechy</v>
      </c>
      <c r="J277" s="4" t="n">
        <v>1000000</v>
      </c>
    </row>
    <row r="278" customFormat="false" ht="15" hidden="false" customHeight="false" outlineLevel="0" collapsed="false">
      <c r="B278" s="2" t="n">
        <v>45939</v>
      </c>
      <c r="C278" s="3" t="n">
        <f aca="false">MONTH(B278)</f>
        <v>10</v>
      </c>
      <c r="D278" s="0" t="n">
        <v>20220013356</v>
      </c>
      <c r="E278" s="0" t="s">
        <v>79</v>
      </c>
      <c r="F278" s="0" t="s">
        <v>82</v>
      </c>
      <c r="G278" s="0" t="s">
        <v>81</v>
      </c>
      <c r="H278" s="0" t="s">
        <v>67</v>
      </c>
      <c r="I278" s="0" t="str">
        <f aca="false">VLOOKUP(H278,'rozdělení obchodníků'!B:D,3, )</f>
        <v>Čechy</v>
      </c>
      <c r="J278" s="4" t="n">
        <v>100000</v>
      </c>
    </row>
    <row r="279" customFormat="false" ht="15" hidden="false" customHeight="false" outlineLevel="0" collapsed="false">
      <c r="B279" s="2" t="n">
        <v>45939</v>
      </c>
      <c r="C279" s="3" t="n">
        <f aca="false">MONTH(B279)</f>
        <v>10</v>
      </c>
      <c r="D279" s="0" t="n">
        <v>20220013359</v>
      </c>
      <c r="E279" s="0" t="s">
        <v>79</v>
      </c>
      <c r="F279" s="0" t="s">
        <v>82</v>
      </c>
      <c r="G279" s="0" t="s">
        <v>81</v>
      </c>
      <c r="H279" s="0" t="s">
        <v>67</v>
      </c>
      <c r="I279" s="0" t="str">
        <f aca="false">VLOOKUP(H279,'rozdělení obchodníků'!B:D,3, )</f>
        <v>Čechy</v>
      </c>
      <c r="J279" s="4" t="n">
        <v>100000</v>
      </c>
    </row>
    <row r="280" customFormat="false" ht="15" hidden="false" customHeight="false" outlineLevel="0" collapsed="false">
      <c r="B280" s="2" t="n">
        <v>45939</v>
      </c>
      <c r="C280" s="3" t="n">
        <f aca="false">MONTH(B280)</f>
        <v>10</v>
      </c>
      <c r="D280" s="0" t="n">
        <v>20220013362</v>
      </c>
      <c r="E280" s="0" t="s">
        <v>79</v>
      </c>
      <c r="F280" s="0" t="s">
        <v>82</v>
      </c>
      <c r="G280" s="0" t="s">
        <v>81</v>
      </c>
      <c r="H280" s="0" t="s">
        <v>67</v>
      </c>
      <c r="I280" s="0" t="str">
        <f aca="false">VLOOKUP(H280,'rozdělení obchodníků'!B:D,3, )</f>
        <v>Čechy</v>
      </c>
      <c r="J280" s="4" t="n">
        <v>1000000</v>
      </c>
    </row>
    <row r="281" customFormat="false" ht="15" hidden="false" customHeight="false" outlineLevel="0" collapsed="false">
      <c r="B281" s="2" t="n">
        <v>45939</v>
      </c>
      <c r="C281" s="3" t="n">
        <f aca="false">MONTH(B281)</f>
        <v>10</v>
      </c>
      <c r="D281" s="0" t="n">
        <v>20220013365</v>
      </c>
      <c r="E281" s="0" t="s">
        <v>79</v>
      </c>
      <c r="F281" s="0" t="s">
        <v>82</v>
      </c>
      <c r="G281" s="0" t="s">
        <v>81</v>
      </c>
      <c r="H281" s="0" t="s">
        <v>25</v>
      </c>
      <c r="I281" s="0" t="str">
        <f aca="false">VLOOKUP(H281,'rozdělení obchodníků'!B:D,3, )</f>
        <v>Praha</v>
      </c>
      <c r="J281" s="4" t="n">
        <v>750000</v>
      </c>
    </row>
    <row r="282" customFormat="false" ht="15" hidden="false" customHeight="false" outlineLevel="0" collapsed="false">
      <c r="B282" s="2" t="n">
        <v>45939</v>
      </c>
      <c r="C282" s="3" t="n">
        <f aca="false">MONTH(B282)</f>
        <v>10</v>
      </c>
      <c r="D282" s="0" t="n">
        <v>20220013368</v>
      </c>
      <c r="E282" s="0" t="s">
        <v>79</v>
      </c>
      <c r="F282" s="0" t="s">
        <v>82</v>
      </c>
      <c r="G282" s="0" t="s">
        <v>81</v>
      </c>
      <c r="H282" s="0" t="s">
        <v>19</v>
      </c>
      <c r="I282" s="0" t="str">
        <f aca="false">VLOOKUP(H282,'rozdělení obchodníků'!B:D,3, )</f>
        <v>Čechy</v>
      </c>
      <c r="J282" s="4" t="n">
        <v>750000</v>
      </c>
    </row>
    <row r="283" customFormat="false" ht="15" hidden="false" customHeight="false" outlineLevel="0" collapsed="false">
      <c r="B283" s="2" t="n">
        <v>45940</v>
      </c>
      <c r="C283" s="3" t="n">
        <f aca="false">MONTH(B283)</f>
        <v>10</v>
      </c>
      <c r="D283" s="0" t="n">
        <v>20220013371</v>
      </c>
      <c r="E283" s="0" t="s">
        <v>79</v>
      </c>
      <c r="F283" s="0" t="s">
        <v>82</v>
      </c>
      <c r="G283" s="0" t="s">
        <v>81</v>
      </c>
      <c r="H283" s="0" t="s">
        <v>69</v>
      </c>
      <c r="I283" s="0" t="str">
        <f aca="false">VLOOKUP(H283,'rozdělení obchodníků'!B:D,3, )</f>
        <v>Praha</v>
      </c>
      <c r="J283" s="4" t="n">
        <v>100000</v>
      </c>
    </row>
    <row r="284" customFormat="false" ht="15" hidden="false" customHeight="false" outlineLevel="0" collapsed="false">
      <c r="B284" s="2" t="n">
        <v>45940</v>
      </c>
      <c r="C284" s="3" t="n">
        <f aca="false">MONTH(B284)</f>
        <v>10</v>
      </c>
      <c r="D284" s="0" t="n">
        <v>20220013374</v>
      </c>
      <c r="E284" s="0" t="s">
        <v>79</v>
      </c>
      <c r="F284" s="0" t="s">
        <v>82</v>
      </c>
      <c r="G284" s="0" t="s">
        <v>81</v>
      </c>
      <c r="H284" s="0" t="s">
        <v>37</v>
      </c>
      <c r="I284" s="0" t="str">
        <f aca="false">VLOOKUP(H284,'rozdělení obchodníků'!B:D,3, )</f>
        <v>Morava</v>
      </c>
      <c r="J284" s="4" t="n">
        <v>1000000</v>
      </c>
    </row>
    <row r="285" customFormat="false" ht="15" hidden="false" customHeight="false" outlineLevel="0" collapsed="false">
      <c r="B285" s="2" t="n">
        <v>45940</v>
      </c>
      <c r="C285" s="3" t="n">
        <f aca="false">MONTH(B285)</f>
        <v>10</v>
      </c>
      <c r="D285" s="0" t="n">
        <v>20220013377</v>
      </c>
      <c r="E285" s="0" t="s">
        <v>79</v>
      </c>
      <c r="F285" s="0" t="s">
        <v>82</v>
      </c>
      <c r="G285" s="0" t="s">
        <v>81</v>
      </c>
      <c r="H285" s="0" t="s">
        <v>51</v>
      </c>
      <c r="I285" s="0" t="str">
        <f aca="false">VLOOKUP(H285,'rozdělení obchodníků'!B:D,3, )</f>
        <v>Praha</v>
      </c>
      <c r="J285" s="4" t="n">
        <v>750000</v>
      </c>
    </row>
    <row r="286" customFormat="false" ht="15" hidden="false" customHeight="false" outlineLevel="0" collapsed="false">
      <c r="B286" s="2" t="n">
        <v>45940</v>
      </c>
      <c r="C286" s="3" t="n">
        <f aca="false">MONTH(B286)</f>
        <v>10</v>
      </c>
      <c r="D286" s="0" t="n">
        <v>20220013380</v>
      </c>
      <c r="E286" s="0" t="s">
        <v>79</v>
      </c>
      <c r="F286" s="0" t="s">
        <v>82</v>
      </c>
      <c r="G286" s="0" t="s">
        <v>81</v>
      </c>
      <c r="H286" s="0" t="s">
        <v>37</v>
      </c>
      <c r="I286" s="0" t="str">
        <f aca="false">VLOOKUP(H286,'rozdělení obchodníků'!B:D,3, )</f>
        <v>Morava</v>
      </c>
      <c r="J286" s="4" t="n">
        <v>100000</v>
      </c>
    </row>
    <row r="287" customFormat="false" ht="15" hidden="false" customHeight="false" outlineLevel="0" collapsed="false">
      <c r="B287" s="2" t="n">
        <v>45940</v>
      </c>
      <c r="C287" s="3" t="n">
        <f aca="false">MONTH(B287)</f>
        <v>10</v>
      </c>
      <c r="D287" s="0" t="n">
        <v>20220013383</v>
      </c>
      <c r="E287" s="0" t="s">
        <v>79</v>
      </c>
      <c r="F287" s="0" t="s">
        <v>80</v>
      </c>
      <c r="G287" s="0" t="s">
        <v>81</v>
      </c>
      <c r="H287" s="0" t="s">
        <v>51</v>
      </c>
      <c r="I287" s="0" t="str">
        <f aca="false">VLOOKUP(H287,'rozdělení obchodníků'!B:D,3, )</f>
        <v>Praha</v>
      </c>
      <c r="J287" s="4" t="n">
        <v>100000</v>
      </c>
    </row>
    <row r="288" customFormat="false" ht="15" hidden="false" customHeight="false" outlineLevel="0" collapsed="false">
      <c r="B288" s="2" t="n">
        <v>45940</v>
      </c>
      <c r="C288" s="3" t="n">
        <f aca="false">MONTH(B288)</f>
        <v>10</v>
      </c>
      <c r="D288" s="0" t="n">
        <v>20220013386</v>
      </c>
      <c r="E288" s="0" t="s">
        <v>79</v>
      </c>
      <c r="F288" s="0" t="s">
        <v>82</v>
      </c>
      <c r="G288" s="0" t="s">
        <v>81</v>
      </c>
      <c r="H288" s="0" t="s">
        <v>37</v>
      </c>
      <c r="I288" s="0" t="str">
        <f aca="false">VLOOKUP(H288,'rozdělení obchodníků'!B:D,3, )</f>
        <v>Morava</v>
      </c>
      <c r="J288" s="4" t="n">
        <v>100000</v>
      </c>
    </row>
    <row r="289" customFormat="false" ht="15" hidden="false" customHeight="false" outlineLevel="0" collapsed="false">
      <c r="B289" s="2" t="n">
        <v>45940</v>
      </c>
      <c r="C289" s="3" t="n">
        <f aca="false">MONTH(B289)</f>
        <v>10</v>
      </c>
      <c r="D289" s="0" t="n">
        <v>20220013389</v>
      </c>
      <c r="E289" s="0" t="s">
        <v>79</v>
      </c>
      <c r="F289" s="0" t="s">
        <v>82</v>
      </c>
      <c r="G289" s="0" t="s">
        <v>81</v>
      </c>
      <c r="H289" s="0" t="s">
        <v>37</v>
      </c>
      <c r="I289" s="0" t="str">
        <f aca="false">VLOOKUP(H289,'rozdělení obchodníků'!B:D,3, )</f>
        <v>Morava</v>
      </c>
      <c r="J289" s="4" t="n">
        <v>750000</v>
      </c>
    </row>
    <row r="290" customFormat="false" ht="15" hidden="false" customHeight="false" outlineLevel="0" collapsed="false">
      <c r="B290" s="2" t="n">
        <v>45940</v>
      </c>
      <c r="C290" s="3" t="n">
        <f aca="false">MONTH(B290)</f>
        <v>10</v>
      </c>
      <c r="D290" s="0" t="n">
        <v>20220013392</v>
      </c>
      <c r="E290" s="0" t="s">
        <v>79</v>
      </c>
      <c r="F290" s="0" t="s">
        <v>82</v>
      </c>
      <c r="G290" s="0" t="s">
        <v>81</v>
      </c>
      <c r="H290" s="0" t="s">
        <v>7</v>
      </c>
      <c r="I290" s="0" t="str">
        <f aca="false">VLOOKUP(H290,'rozdělení obchodníků'!B:D,3, )</f>
        <v>Praha</v>
      </c>
      <c r="J290" s="4" t="n">
        <v>750000</v>
      </c>
    </row>
    <row r="291" customFormat="false" ht="15" hidden="false" customHeight="false" outlineLevel="0" collapsed="false">
      <c r="B291" s="2" t="n">
        <v>45940</v>
      </c>
      <c r="C291" s="3" t="n">
        <f aca="false">MONTH(B291)</f>
        <v>10</v>
      </c>
      <c r="D291" s="0" t="n">
        <v>20220013395</v>
      </c>
      <c r="E291" s="0" t="s">
        <v>79</v>
      </c>
      <c r="F291" s="0" t="s">
        <v>82</v>
      </c>
      <c r="G291" s="0" t="s">
        <v>81</v>
      </c>
      <c r="H291" s="0" t="s">
        <v>25</v>
      </c>
      <c r="I291" s="0" t="str">
        <f aca="false">VLOOKUP(H291,'rozdělení obchodníků'!B:D,3, )</f>
        <v>Praha</v>
      </c>
      <c r="J291" s="4" t="n">
        <v>1000000</v>
      </c>
    </row>
    <row r="292" customFormat="false" ht="15" hidden="false" customHeight="false" outlineLevel="0" collapsed="false">
      <c r="B292" s="2" t="n">
        <v>45940</v>
      </c>
      <c r="C292" s="3" t="n">
        <f aca="false">MONTH(B292)</f>
        <v>10</v>
      </c>
      <c r="D292" s="0" t="n">
        <v>20220013398</v>
      </c>
      <c r="E292" s="0" t="s">
        <v>79</v>
      </c>
      <c r="F292" s="0" t="s">
        <v>82</v>
      </c>
      <c r="G292" s="0" t="s">
        <v>81</v>
      </c>
      <c r="H292" s="0" t="s">
        <v>25</v>
      </c>
      <c r="I292" s="0" t="str">
        <f aca="false">VLOOKUP(H292,'rozdělení obchodníků'!B:D,3, )</f>
        <v>Praha</v>
      </c>
      <c r="J292" s="4" t="n">
        <v>750000</v>
      </c>
    </row>
    <row r="293" customFormat="false" ht="15" hidden="false" customHeight="false" outlineLevel="0" collapsed="false">
      <c r="B293" s="2" t="n">
        <v>45940</v>
      </c>
      <c r="C293" s="3" t="n">
        <f aca="false">MONTH(B293)</f>
        <v>10</v>
      </c>
      <c r="D293" s="0" t="n">
        <v>20220013401</v>
      </c>
      <c r="E293" s="0" t="s">
        <v>79</v>
      </c>
      <c r="F293" s="0" t="s">
        <v>80</v>
      </c>
      <c r="G293" s="0" t="s">
        <v>81</v>
      </c>
      <c r="H293" s="0" t="s">
        <v>19</v>
      </c>
      <c r="I293" s="0" t="str">
        <f aca="false">VLOOKUP(H293,'rozdělení obchodníků'!B:D,3, )</f>
        <v>Čechy</v>
      </c>
      <c r="J293" s="4" t="n">
        <v>750000</v>
      </c>
    </row>
    <row r="294" customFormat="false" ht="15" hidden="false" customHeight="false" outlineLevel="0" collapsed="false">
      <c r="B294" s="2" t="n">
        <v>45941</v>
      </c>
      <c r="C294" s="3" t="n">
        <f aca="false">MONTH(B294)</f>
        <v>10</v>
      </c>
      <c r="D294" s="0" t="n">
        <v>20220013404</v>
      </c>
      <c r="E294" s="0" t="s">
        <v>79</v>
      </c>
      <c r="F294" s="0" t="s">
        <v>80</v>
      </c>
      <c r="G294" s="0" t="s">
        <v>81</v>
      </c>
      <c r="H294" s="0" t="s">
        <v>37</v>
      </c>
      <c r="I294" s="0" t="str">
        <f aca="false">VLOOKUP(H294,'rozdělení obchodníků'!B:D,3, )</f>
        <v>Morava</v>
      </c>
      <c r="J294" s="4" t="n">
        <v>1000000</v>
      </c>
    </row>
    <row r="295" customFormat="false" ht="15" hidden="false" customHeight="false" outlineLevel="0" collapsed="false">
      <c r="B295" s="2" t="n">
        <v>45941</v>
      </c>
      <c r="C295" s="3" t="n">
        <f aca="false">MONTH(B295)</f>
        <v>10</v>
      </c>
      <c r="D295" s="0" t="n">
        <v>20220013407</v>
      </c>
      <c r="E295" s="0" t="s">
        <v>79</v>
      </c>
      <c r="F295" s="0" t="s">
        <v>80</v>
      </c>
      <c r="G295" s="0" t="s">
        <v>81</v>
      </c>
      <c r="H295" s="0" t="s">
        <v>31</v>
      </c>
      <c r="I295" s="0" t="str">
        <f aca="false">VLOOKUP(H295,'rozdělení obchodníků'!B:D,3, )</f>
        <v>Morava</v>
      </c>
      <c r="J295" s="4" t="n">
        <v>100000</v>
      </c>
    </row>
    <row r="296" customFormat="false" ht="15" hidden="false" customHeight="false" outlineLevel="0" collapsed="false">
      <c r="B296" s="2" t="n">
        <v>45942</v>
      </c>
      <c r="C296" s="3" t="n">
        <f aca="false">MONTH(B296)</f>
        <v>10</v>
      </c>
      <c r="D296" s="0" t="n">
        <v>20220013410</v>
      </c>
      <c r="E296" s="0" t="s">
        <v>79</v>
      </c>
      <c r="F296" s="0" t="s">
        <v>82</v>
      </c>
      <c r="G296" s="0" t="s">
        <v>81</v>
      </c>
      <c r="H296" s="0" t="s">
        <v>61</v>
      </c>
      <c r="I296" s="0" t="str">
        <f aca="false">VLOOKUP(H296,'rozdělení obchodníků'!B:D,3, )</f>
        <v>Morava</v>
      </c>
      <c r="J296" s="4" t="n">
        <v>100000</v>
      </c>
    </row>
    <row r="297" customFormat="false" ht="15" hidden="false" customHeight="false" outlineLevel="0" collapsed="false">
      <c r="B297" s="2" t="n">
        <v>45942</v>
      </c>
      <c r="C297" s="3" t="n">
        <f aca="false">MONTH(B297)</f>
        <v>10</v>
      </c>
      <c r="D297" s="0" t="n">
        <v>20220013413</v>
      </c>
      <c r="E297" s="0" t="s">
        <v>79</v>
      </c>
      <c r="F297" s="0" t="s">
        <v>82</v>
      </c>
      <c r="G297" s="0" t="s">
        <v>81</v>
      </c>
      <c r="H297" s="0" t="s">
        <v>51</v>
      </c>
      <c r="I297" s="0" t="str">
        <f aca="false">VLOOKUP(H297,'rozdělení obchodníků'!B:D,3, )</f>
        <v>Praha</v>
      </c>
      <c r="J297" s="4" t="n">
        <v>100000</v>
      </c>
    </row>
    <row r="298" customFormat="false" ht="15" hidden="false" customHeight="false" outlineLevel="0" collapsed="false">
      <c r="B298" s="2" t="n">
        <v>45942</v>
      </c>
      <c r="C298" s="3" t="n">
        <f aca="false">MONTH(B298)</f>
        <v>10</v>
      </c>
      <c r="D298" s="0" t="n">
        <v>20220013416</v>
      </c>
      <c r="E298" s="0" t="s">
        <v>79</v>
      </c>
      <c r="F298" s="0" t="s">
        <v>80</v>
      </c>
      <c r="G298" s="0" t="s">
        <v>81</v>
      </c>
      <c r="H298" s="0" t="s">
        <v>10</v>
      </c>
      <c r="I298" s="0" t="str">
        <f aca="false">VLOOKUP(H298,'rozdělení obchodníků'!B:D,3, )</f>
        <v>Čechy</v>
      </c>
      <c r="J298" s="4" t="n">
        <v>750000</v>
      </c>
    </row>
    <row r="299" customFormat="false" ht="15" hidden="false" customHeight="false" outlineLevel="0" collapsed="false">
      <c r="B299" s="2" t="n">
        <v>45942</v>
      </c>
      <c r="C299" s="3" t="n">
        <f aca="false">MONTH(B299)</f>
        <v>10</v>
      </c>
      <c r="D299" s="0" t="n">
        <v>20220013419</v>
      </c>
      <c r="E299" s="0" t="s">
        <v>79</v>
      </c>
      <c r="F299" s="0" t="s">
        <v>80</v>
      </c>
      <c r="G299" s="0" t="s">
        <v>81</v>
      </c>
      <c r="H299" s="0" t="s">
        <v>7</v>
      </c>
      <c r="I299" s="0" t="str">
        <f aca="false">VLOOKUP(H299,'rozdělení obchodníků'!B:D,3, )</f>
        <v>Praha</v>
      </c>
      <c r="J299" s="4" t="n">
        <v>500000</v>
      </c>
    </row>
    <row r="300" customFormat="false" ht="15" hidden="false" customHeight="false" outlineLevel="0" collapsed="false">
      <c r="B300" s="2" t="n">
        <v>45942</v>
      </c>
      <c r="C300" s="3" t="n">
        <f aca="false">MONTH(B300)</f>
        <v>10</v>
      </c>
      <c r="D300" s="0" t="n">
        <v>20220013422</v>
      </c>
      <c r="E300" s="0" t="s">
        <v>79</v>
      </c>
      <c r="F300" s="0" t="s">
        <v>82</v>
      </c>
      <c r="G300" s="0" t="s">
        <v>81</v>
      </c>
      <c r="H300" s="0" t="s">
        <v>12</v>
      </c>
      <c r="I300" s="0" t="str">
        <f aca="false">VLOOKUP(H300,'rozdělení obchodníků'!B:D,3, )</f>
        <v>Morava</v>
      </c>
      <c r="J300" s="4" t="n">
        <v>100000</v>
      </c>
    </row>
    <row r="301" customFormat="false" ht="15" hidden="false" customHeight="false" outlineLevel="0" collapsed="false">
      <c r="B301" s="2" t="n">
        <v>45942</v>
      </c>
      <c r="C301" s="3" t="n">
        <f aca="false">MONTH(B301)</f>
        <v>10</v>
      </c>
      <c r="D301" s="0" t="n">
        <v>20220013425</v>
      </c>
      <c r="E301" s="0" t="s">
        <v>79</v>
      </c>
      <c r="F301" s="0" t="s">
        <v>82</v>
      </c>
      <c r="G301" s="0" t="s">
        <v>81</v>
      </c>
      <c r="H301" s="0" t="s">
        <v>51</v>
      </c>
      <c r="I301" s="0" t="str">
        <f aca="false">VLOOKUP(H301,'rozdělení obchodníků'!B:D,3, )</f>
        <v>Praha</v>
      </c>
      <c r="J301" s="4" t="n">
        <v>1000000</v>
      </c>
    </row>
    <row r="302" customFormat="false" ht="15" hidden="false" customHeight="false" outlineLevel="0" collapsed="false">
      <c r="B302" s="2" t="n">
        <v>45942</v>
      </c>
      <c r="C302" s="3" t="n">
        <f aca="false">MONTH(B302)</f>
        <v>10</v>
      </c>
      <c r="D302" s="0" t="n">
        <v>20220013428</v>
      </c>
      <c r="E302" s="0" t="s">
        <v>79</v>
      </c>
      <c r="F302" s="0" t="s">
        <v>82</v>
      </c>
      <c r="G302" s="0" t="s">
        <v>81</v>
      </c>
      <c r="H302" s="0" t="s">
        <v>61</v>
      </c>
      <c r="I302" s="0" t="str">
        <f aca="false">VLOOKUP(H302,'rozdělení obchodníků'!B:D,3, )</f>
        <v>Morava</v>
      </c>
      <c r="J302" s="4" t="n">
        <v>750000</v>
      </c>
    </row>
    <row r="303" customFormat="false" ht="15" hidden="false" customHeight="false" outlineLevel="0" collapsed="false">
      <c r="B303" s="2" t="n">
        <v>45942</v>
      </c>
      <c r="C303" s="3" t="n">
        <f aca="false">MONTH(B303)</f>
        <v>10</v>
      </c>
      <c r="D303" s="0" t="n">
        <v>20220013431</v>
      </c>
      <c r="E303" s="0" t="s">
        <v>79</v>
      </c>
      <c r="F303" s="0" t="s">
        <v>82</v>
      </c>
      <c r="G303" s="0" t="s">
        <v>81</v>
      </c>
      <c r="H303" s="0" t="s">
        <v>61</v>
      </c>
      <c r="I303" s="0" t="str">
        <f aca="false">VLOOKUP(H303,'rozdělení obchodníků'!B:D,3, )</f>
        <v>Morava</v>
      </c>
      <c r="J303" s="4" t="n">
        <v>750000</v>
      </c>
    </row>
    <row r="304" customFormat="false" ht="15" hidden="false" customHeight="false" outlineLevel="0" collapsed="false">
      <c r="B304" s="2" t="n">
        <v>45942</v>
      </c>
      <c r="C304" s="3" t="n">
        <f aca="false">MONTH(B304)</f>
        <v>10</v>
      </c>
      <c r="D304" s="0" t="n">
        <v>20220013434</v>
      </c>
      <c r="E304" s="0" t="s">
        <v>79</v>
      </c>
      <c r="F304" s="0" t="s">
        <v>82</v>
      </c>
      <c r="G304" s="0" t="s">
        <v>81</v>
      </c>
      <c r="H304" s="0" t="s">
        <v>17</v>
      </c>
      <c r="I304" s="0" t="str">
        <f aca="false">VLOOKUP(H304,'rozdělení obchodníků'!B:D,3, )</f>
        <v>Praha</v>
      </c>
      <c r="J304" s="4" t="n">
        <v>350000</v>
      </c>
    </row>
    <row r="305" customFormat="false" ht="15" hidden="false" customHeight="false" outlineLevel="0" collapsed="false">
      <c r="B305" s="2" t="n">
        <v>45942</v>
      </c>
      <c r="C305" s="3" t="n">
        <f aca="false">MONTH(B305)</f>
        <v>10</v>
      </c>
      <c r="D305" s="0" t="n">
        <v>20220013437</v>
      </c>
      <c r="E305" s="0" t="s">
        <v>79</v>
      </c>
      <c r="F305" s="0" t="s">
        <v>82</v>
      </c>
      <c r="G305" s="0" t="s">
        <v>81</v>
      </c>
      <c r="H305" s="0" t="s">
        <v>10</v>
      </c>
      <c r="I305" s="0" t="str">
        <f aca="false">VLOOKUP(H305,'rozdělení obchodníků'!B:D,3, )</f>
        <v>Čechy</v>
      </c>
      <c r="J305" s="4" t="n">
        <v>1000000</v>
      </c>
    </row>
    <row r="306" customFormat="false" ht="15" hidden="false" customHeight="false" outlineLevel="0" collapsed="false">
      <c r="B306" s="2" t="n">
        <v>45942</v>
      </c>
      <c r="C306" s="3" t="n">
        <f aca="false">MONTH(B306)</f>
        <v>10</v>
      </c>
      <c r="D306" s="0" t="n">
        <v>20220013440</v>
      </c>
      <c r="E306" s="0" t="s">
        <v>79</v>
      </c>
      <c r="F306" s="0" t="s">
        <v>82</v>
      </c>
      <c r="G306" s="0" t="s">
        <v>81</v>
      </c>
      <c r="H306" s="0" t="s">
        <v>12</v>
      </c>
      <c r="I306" s="0" t="str">
        <f aca="false">VLOOKUP(H306,'rozdělení obchodníků'!B:D,3, )</f>
        <v>Morava</v>
      </c>
      <c r="J306" s="4" t="n">
        <v>300000</v>
      </c>
    </row>
    <row r="307" customFormat="false" ht="15" hidden="false" customHeight="false" outlineLevel="0" collapsed="false">
      <c r="B307" s="2" t="n">
        <v>45942</v>
      </c>
      <c r="C307" s="3" t="n">
        <f aca="false">MONTH(B307)</f>
        <v>10</v>
      </c>
      <c r="D307" s="0" t="n">
        <v>20220013443</v>
      </c>
      <c r="E307" s="0" t="s">
        <v>79</v>
      </c>
      <c r="F307" s="0" t="s">
        <v>80</v>
      </c>
      <c r="G307" s="0" t="s">
        <v>81</v>
      </c>
      <c r="H307" s="0" t="s">
        <v>69</v>
      </c>
      <c r="I307" s="0" t="str">
        <f aca="false">VLOOKUP(H307,'rozdělení obchodníků'!B:D,3, )</f>
        <v>Praha</v>
      </c>
      <c r="J307" s="4" t="n">
        <v>750000</v>
      </c>
    </row>
    <row r="308" customFormat="false" ht="15" hidden="false" customHeight="false" outlineLevel="0" collapsed="false">
      <c r="B308" s="2" t="n">
        <v>45943</v>
      </c>
      <c r="C308" s="3" t="n">
        <f aca="false">MONTH(B308)</f>
        <v>10</v>
      </c>
      <c r="D308" s="0" t="n">
        <v>20220013446</v>
      </c>
      <c r="E308" s="0" t="s">
        <v>79</v>
      </c>
      <c r="F308" s="0" t="s">
        <v>83</v>
      </c>
      <c r="G308" s="0" t="s">
        <v>81</v>
      </c>
      <c r="H308" s="0" t="s">
        <v>43</v>
      </c>
      <c r="I308" s="0" t="str">
        <f aca="false">VLOOKUP(H308,'rozdělení obchodníků'!B:D,3, )</f>
        <v>Praha</v>
      </c>
      <c r="J308" s="4" t="n">
        <v>100000</v>
      </c>
    </row>
    <row r="309" customFormat="false" ht="15" hidden="false" customHeight="false" outlineLevel="0" collapsed="false">
      <c r="B309" s="2" t="n">
        <v>45943</v>
      </c>
      <c r="C309" s="3" t="n">
        <f aca="false">MONTH(B309)</f>
        <v>10</v>
      </c>
      <c r="D309" s="0" t="n">
        <v>20220013449</v>
      </c>
      <c r="E309" s="0" t="s">
        <v>79</v>
      </c>
      <c r="F309" s="0" t="s">
        <v>82</v>
      </c>
      <c r="G309" s="0" t="s">
        <v>81</v>
      </c>
      <c r="H309" s="0" t="s">
        <v>7</v>
      </c>
      <c r="I309" s="0" t="str">
        <f aca="false">VLOOKUP(H309,'rozdělení obchodníků'!B:D,3, )</f>
        <v>Praha</v>
      </c>
      <c r="J309" s="4" t="n">
        <v>750000</v>
      </c>
    </row>
    <row r="310" customFormat="false" ht="15" hidden="false" customHeight="false" outlineLevel="0" collapsed="false">
      <c r="B310" s="2" t="n">
        <v>45943</v>
      </c>
      <c r="C310" s="3" t="n">
        <f aca="false">MONTH(B310)</f>
        <v>10</v>
      </c>
      <c r="D310" s="0" t="n">
        <v>20220013452</v>
      </c>
      <c r="E310" s="0" t="s">
        <v>79</v>
      </c>
      <c r="F310" s="0" t="s">
        <v>80</v>
      </c>
      <c r="G310" s="0" t="s">
        <v>81</v>
      </c>
      <c r="H310" s="0" t="s">
        <v>51</v>
      </c>
      <c r="I310" s="0" t="str">
        <f aca="false">VLOOKUP(H310,'rozdělení obchodníků'!B:D,3, )</f>
        <v>Praha</v>
      </c>
      <c r="J310" s="4" t="n">
        <v>100000</v>
      </c>
    </row>
    <row r="311" customFormat="false" ht="15" hidden="false" customHeight="false" outlineLevel="0" collapsed="false">
      <c r="B311" s="2" t="n">
        <v>45943</v>
      </c>
      <c r="C311" s="3" t="n">
        <f aca="false">MONTH(B311)</f>
        <v>10</v>
      </c>
      <c r="D311" s="0" t="n">
        <v>20220013455</v>
      </c>
      <c r="E311" s="0" t="s">
        <v>79</v>
      </c>
      <c r="F311" s="0" t="s">
        <v>80</v>
      </c>
      <c r="G311" s="0" t="s">
        <v>81</v>
      </c>
      <c r="H311" s="0" t="s">
        <v>7</v>
      </c>
      <c r="I311" s="0" t="str">
        <f aca="false">VLOOKUP(H311,'rozdělení obchodníků'!B:D,3, )</f>
        <v>Praha</v>
      </c>
      <c r="J311" s="4" t="n">
        <v>100000</v>
      </c>
    </row>
    <row r="312" customFormat="false" ht="15" hidden="false" customHeight="false" outlineLevel="0" collapsed="false">
      <c r="B312" s="2" t="n">
        <v>45943</v>
      </c>
      <c r="C312" s="3" t="n">
        <f aca="false">MONTH(B312)</f>
        <v>10</v>
      </c>
      <c r="D312" s="0" t="n">
        <v>20220013458</v>
      </c>
      <c r="E312" s="0" t="s">
        <v>79</v>
      </c>
      <c r="F312" s="0" t="s">
        <v>80</v>
      </c>
      <c r="G312" s="0" t="s">
        <v>81</v>
      </c>
      <c r="H312" s="0" t="s">
        <v>53</v>
      </c>
      <c r="I312" s="0" t="str">
        <f aca="false">VLOOKUP(H312,'rozdělení obchodníků'!B:D,3, )</f>
        <v>Praha</v>
      </c>
      <c r="J312" s="4" t="n">
        <v>750000</v>
      </c>
    </row>
    <row r="313" customFormat="false" ht="15" hidden="false" customHeight="false" outlineLevel="0" collapsed="false">
      <c r="B313" s="2" t="n">
        <v>45943</v>
      </c>
      <c r="C313" s="3" t="n">
        <f aca="false">MONTH(B313)</f>
        <v>10</v>
      </c>
      <c r="D313" s="0" t="n">
        <v>20220013461</v>
      </c>
      <c r="E313" s="0" t="s">
        <v>79</v>
      </c>
      <c r="F313" s="0" t="s">
        <v>80</v>
      </c>
      <c r="G313" s="0" t="s">
        <v>81</v>
      </c>
      <c r="H313" s="0" t="s">
        <v>51</v>
      </c>
      <c r="I313" s="0" t="str">
        <f aca="false">VLOOKUP(H313,'rozdělení obchodníků'!B:D,3, )</f>
        <v>Praha</v>
      </c>
      <c r="J313" s="4" t="n">
        <v>100000</v>
      </c>
    </row>
    <row r="314" customFormat="false" ht="15" hidden="false" customHeight="false" outlineLevel="0" collapsed="false">
      <c r="B314" s="2" t="n">
        <v>45944</v>
      </c>
      <c r="C314" s="3" t="n">
        <f aca="false">MONTH(B314)</f>
        <v>10</v>
      </c>
      <c r="D314" s="0" t="n">
        <v>20220013464</v>
      </c>
      <c r="E314" s="0" t="s">
        <v>79</v>
      </c>
      <c r="F314" s="0" t="s">
        <v>83</v>
      </c>
      <c r="G314" s="0" t="s">
        <v>81</v>
      </c>
      <c r="H314" s="0" t="s">
        <v>51</v>
      </c>
      <c r="I314" s="0" t="str">
        <f aca="false">VLOOKUP(H314,'rozdělení obchodníků'!B:D,3, )</f>
        <v>Praha</v>
      </c>
      <c r="J314" s="4" t="n">
        <v>100000</v>
      </c>
    </row>
    <row r="315" customFormat="false" ht="15" hidden="false" customHeight="false" outlineLevel="0" collapsed="false">
      <c r="B315" s="2" t="n">
        <v>45944</v>
      </c>
      <c r="C315" s="3" t="n">
        <f aca="false">MONTH(B315)</f>
        <v>10</v>
      </c>
      <c r="D315" s="0" t="n">
        <v>20220013467</v>
      </c>
      <c r="E315" s="0" t="s">
        <v>79</v>
      </c>
      <c r="F315" s="0" t="s">
        <v>80</v>
      </c>
      <c r="G315" s="0" t="s">
        <v>81</v>
      </c>
      <c r="H315" s="0" t="s">
        <v>49</v>
      </c>
      <c r="I315" s="0" t="str">
        <f aca="false">VLOOKUP(H315,'rozdělení obchodníků'!B:D,3, )</f>
        <v>Morava</v>
      </c>
      <c r="J315" s="4" t="n">
        <v>600000</v>
      </c>
    </row>
    <row r="316" customFormat="false" ht="15" hidden="false" customHeight="false" outlineLevel="0" collapsed="false">
      <c r="B316" s="2" t="n">
        <v>45944</v>
      </c>
      <c r="C316" s="3" t="n">
        <f aca="false">MONTH(B316)</f>
        <v>10</v>
      </c>
      <c r="D316" s="0" t="n">
        <v>20220013470</v>
      </c>
      <c r="E316" s="0" t="s">
        <v>79</v>
      </c>
      <c r="F316" s="0" t="s">
        <v>82</v>
      </c>
      <c r="G316" s="0" t="s">
        <v>81</v>
      </c>
      <c r="H316" s="0" t="s">
        <v>17</v>
      </c>
      <c r="I316" s="0" t="str">
        <f aca="false">VLOOKUP(H316,'rozdělení obchodníků'!B:D,3, )</f>
        <v>Praha</v>
      </c>
      <c r="J316" s="4" t="n">
        <v>1000000</v>
      </c>
    </row>
    <row r="317" customFormat="false" ht="15" hidden="false" customHeight="false" outlineLevel="0" collapsed="false">
      <c r="B317" s="2" t="n">
        <v>45944</v>
      </c>
      <c r="C317" s="3" t="n">
        <f aca="false">MONTH(B317)</f>
        <v>10</v>
      </c>
      <c r="D317" s="0" t="n">
        <v>20220013473</v>
      </c>
      <c r="E317" s="0" t="s">
        <v>79</v>
      </c>
      <c r="F317" s="0" t="s">
        <v>80</v>
      </c>
      <c r="G317" s="0" t="s">
        <v>81</v>
      </c>
      <c r="H317" s="0" t="s">
        <v>43</v>
      </c>
      <c r="I317" s="0" t="str">
        <f aca="false">VLOOKUP(H317,'rozdělení obchodníků'!B:D,3, )</f>
        <v>Praha</v>
      </c>
      <c r="J317" s="4" t="n">
        <v>100000</v>
      </c>
    </row>
    <row r="318" customFormat="false" ht="15" hidden="false" customHeight="false" outlineLevel="0" collapsed="false">
      <c r="B318" s="2" t="n">
        <v>45944</v>
      </c>
      <c r="C318" s="3" t="n">
        <f aca="false">MONTH(B318)</f>
        <v>10</v>
      </c>
      <c r="D318" s="0" t="n">
        <v>20220013476</v>
      </c>
      <c r="E318" s="0" t="s">
        <v>79</v>
      </c>
      <c r="F318" s="0" t="s">
        <v>80</v>
      </c>
      <c r="G318" s="0" t="s">
        <v>81</v>
      </c>
      <c r="H318" s="0" t="s">
        <v>43</v>
      </c>
      <c r="I318" s="0" t="str">
        <f aca="false">VLOOKUP(H318,'rozdělení obchodníků'!B:D,3, )</f>
        <v>Praha</v>
      </c>
      <c r="J318" s="4" t="n">
        <v>100000</v>
      </c>
    </row>
    <row r="319" customFormat="false" ht="15" hidden="false" customHeight="false" outlineLevel="0" collapsed="false">
      <c r="B319" s="2" t="n">
        <v>45944</v>
      </c>
      <c r="C319" s="3" t="n">
        <f aca="false">MONTH(B319)</f>
        <v>10</v>
      </c>
      <c r="D319" s="0" t="n">
        <v>20220013479</v>
      </c>
      <c r="E319" s="0" t="s">
        <v>79</v>
      </c>
      <c r="F319" s="0" t="s">
        <v>80</v>
      </c>
      <c r="G319" s="0" t="s">
        <v>81</v>
      </c>
      <c r="H319" s="0" t="s">
        <v>51</v>
      </c>
      <c r="I319" s="0" t="str">
        <f aca="false">VLOOKUP(H319,'rozdělení obchodníků'!B:D,3, )</f>
        <v>Praha</v>
      </c>
      <c r="J319" s="4" t="n">
        <v>100000</v>
      </c>
    </row>
    <row r="320" customFormat="false" ht="15" hidden="false" customHeight="false" outlineLevel="0" collapsed="false">
      <c r="B320" s="2" t="n">
        <v>45944</v>
      </c>
      <c r="C320" s="3" t="n">
        <f aca="false">MONTH(B320)</f>
        <v>10</v>
      </c>
      <c r="D320" s="0" t="n">
        <v>20220013482</v>
      </c>
      <c r="E320" s="0" t="s">
        <v>79</v>
      </c>
      <c r="F320" s="0" t="s">
        <v>80</v>
      </c>
      <c r="G320" s="0" t="s">
        <v>81</v>
      </c>
      <c r="H320" s="0" t="s">
        <v>51</v>
      </c>
      <c r="I320" s="0" t="str">
        <f aca="false">VLOOKUP(H320,'rozdělení obchodníků'!B:D,3, )</f>
        <v>Praha</v>
      </c>
      <c r="J320" s="4" t="n">
        <v>750000</v>
      </c>
    </row>
    <row r="321" customFormat="false" ht="15" hidden="false" customHeight="false" outlineLevel="0" collapsed="false">
      <c r="B321" s="2" t="n">
        <v>45944</v>
      </c>
      <c r="C321" s="3" t="n">
        <f aca="false">MONTH(B321)</f>
        <v>10</v>
      </c>
      <c r="D321" s="0" t="n">
        <v>20220013485</v>
      </c>
      <c r="E321" s="0" t="s">
        <v>79</v>
      </c>
      <c r="F321" s="0" t="s">
        <v>80</v>
      </c>
      <c r="G321" s="0" t="s">
        <v>81</v>
      </c>
      <c r="H321" s="0" t="s">
        <v>47</v>
      </c>
      <c r="I321" s="0" t="str">
        <f aca="false">VLOOKUP(H321,'rozdělení obchodníků'!B:D,3, )</f>
        <v>Morava</v>
      </c>
      <c r="J321" s="4" t="n">
        <v>100000</v>
      </c>
    </row>
    <row r="322" customFormat="false" ht="15" hidden="false" customHeight="false" outlineLevel="0" collapsed="false">
      <c r="B322" s="2" t="n">
        <v>45944</v>
      </c>
      <c r="C322" s="3" t="n">
        <f aca="false">MONTH(B322)</f>
        <v>10</v>
      </c>
      <c r="D322" s="0" t="n">
        <v>20220013488</v>
      </c>
      <c r="E322" s="0" t="s">
        <v>79</v>
      </c>
      <c r="F322" s="0" t="s">
        <v>80</v>
      </c>
      <c r="G322" s="0" t="s">
        <v>81</v>
      </c>
      <c r="H322" s="0" t="s">
        <v>47</v>
      </c>
      <c r="I322" s="0" t="str">
        <f aca="false">VLOOKUP(H322,'rozdělení obchodníků'!B:D,3, )</f>
        <v>Morava</v>
      </c>
      <c r="J322" s="4" t="n">
        <v>100000</v>
      </c>
    </row>
    <row r="323" customFormat="false" ht="15" hidden="false" customHeight="false" outlineLevel="0" collapsed="false">
      <c r="B323" s="2" t="n">
        <v>45944</v>
      </c>
      <c r="C323" s="3" t="n">
        <f aca="false">MONTH(B323)</f>
        <v>10</v>
      </c>
      <c r="D323" s="0" t="n">
        <v>20220013491</v>
      </c>
      <c r="E323" s="0" t="s">
        <v>79</v>
      </c>
      <c r="F323" s="0" t="s">
        <v>80</v>
      </c>
      <c r="G323" s="0" t="s">
        <v>81</v>
      </c>
      <c r="H323" s="0" t="s">
        <v>49</v>
      </c>
      <c r="I323" s="0" t="str">
        <f aca="false">VLOOKUP(H323,'rozdělení obchodníků'!B:D,3, )</f>
        <v>Morava</v>
      </c>
      <c r="J323" s="4" t="n">
        <v>1000000</v>
      </c>
    </row>
    <row r="324" customFormat="false" ht="15" hidden="false" customHeight="false" outlineLevel="0" collapsed="false">
      <c r="B324" s="2" t="n">
        <v>45944</v>
      </c>
      <c r="C324" s="3" t="n">
        <f aca="false">MONTH(B324)</f>
        <v>10</v>
      </c>
      <c r="D324" s="0" t="n">
        <v>20220013494</v>
      </c>
      <c r="E324" s="0" t="s">
        <v>79</v>
      </c>
      <c r="F324" s="0" t="s">
        <v>80</v>
      </c>
      <c r="G324" s="0" t="s">
        <v>81</v>
      </c>
      <c r="H324" s="0" t="s">
        <v>7</v>
      </c>
      <c r="I324" s="0" t="str">
        <f aca="false">VLOOKUP(H324,'rozdělení obchodníků'!B:D,3, )</f>
        <v>Praha</v>
      </c>
      <c r="J324" s="4" t="n">
        <v>750000</v>
      </c>
    </row>
    <row r="325" customFormat="false" ht="15" hidden="false" customHeight="false" outlineLevel="0" collapsed="false">
      <c r="B325" s="2" t="n">
        <v>45944</v>
      </c>
      <c r="C325" s="3" t="n">
        <f aca="false">MONTH(B325)</f>
        <v>10</v>
      </c>
      <c r="D325" s="0" t="n">
        <v>20220013497</v>
      </c>
      <c r="E325" s="0" t="s">
        <v>79</v>
      </c>
      <c r="F325" s="0" t="s">
        <v>80</v>
      </c>
      <c r="G325" s="0" t="s">
        <v>81</v>
      </c>
      <c r="H325" s="0" t="s">
        <v>51</v>
      </c>
      <c r="I325" s="0" t="str">
        <f aca="false">VLOOKUP(H325,'rozdělení obchodníků'!B:D,3, )</f>
        <v>Praha</v>
      </c>
      <c r="J325" s="4" t="n">
        <v>750000</v>
      </c>
    </row>
    <row r="326" customFormat="false" ht="15" hidden="false" customHeight="false" outlineLevel="0" collapsed="false">
      <c r="B326" s="2" t="n">
        <v>45944</v>
      </c>
      <c r="C326" s="3" t="n">
        <f aca="false">MONTH(B326)</f>
        <v>10</v>
      </c>
      <c r="D326" s="0" t="n">
        <v>20220013500</v>
      </c>
      <c r="E326" s="0" t="s">
        <v>79</v>
      </c>
      <c r="F326" s="0" t="s">
        <v>80</v>
      </c>
      <c r="G326" s="0" t="s">
        <v>81</v>
      </c>
      <c r="H326" s="0" t="s">
        <v>43</v>
      </c>
      <c r="I326" s="0" t="str">
        <f aca="false">VLOOKUP(H326,'rozdělení obchodníků'!B:D,3, )</f>
        <v>Praha</v>
      </c>
      <c r="J326" s="4" t="n">
        <v>750000</v>
      </c>
    </row>
    <row r="327" customFormat="false" ht="15" hidden="false" customHeight="false" outlineLevel="0" collapsed="false">
      <c r="B327" s="2" t="n">
        <v>45944</v>
      </c>
      <c r="C327" s="3" t="n">
        <f aca="false">MONTH(B327)</f>
        <v>10</v>
      </c>
      <c r="D327" s="0" t="n">
        <v>20220013503</v>
      </c>
      <c r="E327" s="0" t="s">
        <v>79</v>
      </c>
      <c r="F327" s="0" t="s">
        <v>80</v>
      </c>
      <c r="G327" s="0" t="s">
        <v>81</v>
      </c>
      <c r="H327" s="0" t="s">
        <v>7</v>
      </c>
      <c r="I327" s="0" t="str">
        <f aca="false">VLOOKUP(H327,'rozdělení obchodníků'!B:D,3, )</f>
        <v>Praha</v>
      </c>
      <c r="J327" s="4" t="n">
        <v>750000</v>
      </c>
    </row>
    <row r="328" customFormat="false" ht="15" hidden="false" customHeight="false" outlineLevel="0" collapsed="false">
      <c r="B328" s="2" t="n">
        <v>45944</v>
      </c>
      <c r="C328" s="3" t="n">
        <f aca="false">MONTH(B328)</f>
        <v>10</v>
      </c>
      <c r="D328" s="0" t="n">
        <v>20220013506</v>
      </c>
      <c r="E328" s="0" t="s">
        <v>79</v>
      </c>
      <c r="F328" s="0" t="s">
        <v>80</v>
      </c>
      <c r="G328" s="0" t="s">
        <v>81</v>
      </c>
      <c r="H328" s="0" t="s">
        <v>51</v>
      </c>
      <c r="I328" s="0" t="str">
        <f aca="false">VLOOKUP(H328,'rozdělení obchodníků'!B:D,3, )</f>
        <v>Praha</v>
      </c>
      <c r="J328" s="4" t="n">
        <v>100000</v>
      </c>
    </row>
    <row r="329" customFormat="false" ht="15" hidden="false" customHeight="false" outlineLevel="0" collapsed="false">
      <c r="B329" s="2" t="n">
        <v>45944</v>
      </c>
      <c r="C329" s="3" t="n">
        <f aca="false">MONTH(B329)</f>
        <v>10</v>
      </c>
      <c r="D329" s="0" t="n">
        <v>20220013509</v>
      </c>
      <c r="E329" s="0" t="s">
        <v>79</v>
      </c>
      <c r="F329" s="0" t="s">
        <v>80</v>
      </c>
      <c r="G329" s="0" t="s">
        <v>81</v>
      </c>
      <c r="H329" s="0" t="s">
        <v>17</v>
      </c>
      <c r="I329" s="0" t="str">
        <f aca="false">VLOOKUP(H329,'rozdělení obchodníků'!B:D,3, )</f>
        <v>Praha</v>
      </c>
      <c r="J329" s="4" t="n">
        <v>750000</v>
      </c>
    </row>
    <row r="330" customFormat="false" ht="15" hidden="false" customHeight="false" outlineLevel="0" collapsed="false">
      <c r="B330" s="2" t="n">
        <v>45944</v>
      </c>
      <c r="C330" s="3" t="n">
        <f aca="false">MONTH(B330)</f>
        <v>10</v>
      </c>
      <c r="D330" s="0" t="n">
        <v>20220013512</v>
      </c>
      <c r="E330" s="0" t="s">
        <v>79</v>
      </c>
      <c r="F330" s="0" t="s">
        <v>80</v>
      </c>
      <c r="G330" s="0" t="s">
        <v>81</v>
      </c>
      <c r="H330" s="0" t="s">
        <v>47</v>
      </c>
      <c r="I330" s="0" t="str">
        <f aca="false">VLOOKUP(H330,'rozdělení obchodníků'!B:D,3, )</f>
        <v>Morava</v>
      </c>
      <c r="J330" s="4" t="n">
        <v>100000</v>
      </c>
    </row>
    <row r="331" customFormat="false" ht="15" hidden="false" customHeight="false" outlineLevel="0" collapsed="false">
      <c r="B331" s="2" t="n">
        <v>45944</v>
      </c>
      <c r="C331" s="3" t="n">
        <f aca="false">MONTH(B331)</f>
        <v>10</v>
      </c>
      <c r="D331" s="0" t="n">
        <v>20220013515</v>
      </c>
      <c r="E331" s="0" t="s">
        <v>79</v>
      </c>
      <c r="F331" s="0" t="s">
        <v>80</v>
      </c>
      <c r="G331" s="0" t="s">
        <v>81</v>
      </c>
      <c r="H331" s="0" t="s">
        <v>47</v>
      </c>
      <c r="I331" s="0" t="str">
        <f aca="false">VLOOKUP(H331,'rozdělení obchodníků'!B:D,3, )</f>
        <v>Morava</v>
      </c>
      <c r="J331" s="4" t="n">
        <v>100000</v>
      </c>
    </row>
    <row r="332" customFormat="false" ht="15" hidden="false" customHeight="false" outlineLevel="0" collapsed="false">
      <c r="B332" s="2" t="n">
        <v>45944</v>
      </c>
      <c r="C332" s="3" t="n">
        <f aca="false">MONTH(B332)</f>
        <v>10</v>
      </c>
      <c r="D332" s="0" t="n">
        <v>20220013518</v>
      </c>
      <c r="E332" s="0" t="s">
        <v>79</v>
      </c>
      <c r="F332" s="0" t="s">
        <v>82</v>
      </c>
      <c r="G332" s="0" t="s">
        <v>81</v>
      </c>
      <c r="H332" s="0" t="s">
        <v>25</v>
      </c>
      <c r="I332" s="0" t="str">
        <f aca="false">VLOOKUP(H332,'rozdělení obchodníků'!B:D,3, )</f>
        <v>Praha</v>
      </c>
      <c r="J332" s="4" t="n">
        <v>2000000</v>
      </c>
    </row>
    <row r="333" customFormat="false" ht="15" hidden="false" customHeight="false" outlineLevel="0" collapsed="false">
      <c r="B333" s="2" t="n">
        <v>45945</v>
      </c>
      <c r="C333" s="3" t="n">
        <f aca="false">MONTH(B333)</f>
        <v>10</v>
      </c>
      <c r="D333" s="0" t="n">
        <v>20220013521</v>
      </c>
      <c r="E333" s="0" t="s">
        <v>79</v>
      </c>
      <c r="F333" s="0" t="s">
        <v>83</v>
      </c>
      <c r="G333" s="0" t="s">
        <v>81</v>
      </c>
      <c r="H333" s="0" t="s">
        <v>37</v>
      </c>
      <c r="I333" s="0" t="str">
        <f aca="false">VLOOKUP(H333,'rozdělení obchodníků'!B:D,3, )</f>
        <v>Morava</v>
      </c>
      <c r="J333" s="4" t="n">
        <v>1000000</v>
      </c>
    </row>
    <row r="334" customFormat="false" ht="15" hidden="false" customHeight="false" outlineLevel="0" collapsed="false">
      <c r="B334" s="2" t="n">
        <v>45945</v>
      </c>
      <c r="C334" s="3" t="n">
        <f aca="false">MONTH(B334)</f>
        <v>10</v>
      </c>
      <c r="D334" s="0" t="n">
        <v>20220013524</v>
      </c>
      <c r="E334" s="0" t="s">
        <v>79</v>
      </c>
      <c r="F334" s="0" t="s">
        <v>83</v>
      </c>
      <c r="G334" s="0" t="s">
        <v>81</v>
      </c>
      <c r="H334" s="0" t="s">
        <v>65</v>
      </c>
      <c r="I334" s="0" t="str">
        <f aca="false">VLOOKUP(H334,'rozdělení obchodníků'!B:D,3, )</f>
        <v>Praha</v>
      </c>
      <c r="J334" s="4" t="n">
        <v>100000</v>
      </c>
    </row>
    <row r="335" customFormat="false" ht="15" hidden="false" customHeight="false" outlineLevel="0" collapsed="false">
      <c r="B335" s="2" t="n">
        <v>45945</v>
      </c>
      <c r="C335" s="3" t="n">
        <f aca="false">MONTH(B335)</f>
        <v>10</v>
      </c>
      <c r="D335" s="0" t="n">
        <v>20220013527</v>
      </c>
      <c r="E335" s="0" t="s">
        <v>79</v>
      </c>
      <c r="F335" s="0" t="s">
        <v>83</v>
      </c>
      <c r="G335" s="0" t="s">
        <v>81</v>
      </c>
      <c r="H335" s="0" t="s">
        <v>65</v>
      </c>
      <c r="I335" s="0" t="str">
        <f aca="false">VLOOKUP(H335,'rozdělení obchodníků'!B:D,3, )</f>
        <v>Praha</v>
      </c>
      <c r="J335" s="4" t="n">
        <v>750000</v>
      </c>
    </row>
    <row r="336" customFormat="false" ht="15" hidden="false" customHeight="false" outlineLevel="0" collapsed="false">
      <c r="B336" s="2" t="n">
        <v>45945</v>
      </c>
      <c r="C336" s="3" t="n">
        <f aca="false">MONTH(B336)</f>
        <v>10</v>
      </c>
      <c r="D336" s="0" t="n">
        <v>20220013530</v>
      </c>
      <c r="E336" s="0" t="s">
        <v>79</v>
      </c>
      <c r="F336" s="0" t="s">
        <v>83</v>
      </c>
      <c r="G336" s="0" t="s">
        <v>81</v>
      </c>
      <c r="H336" s="0" t="s">
        <v>65</v>
      </c>
      <c r="I336" s="0" t="str">
        <f aca="false">VLOOKUP(H336,'rozdělení obchodníků'!B:D,3, )</f>
        <v>Praha</v>
      </c>
      <c r="J336" s="4" t="n">
        <v>1000000</v>
      </c>
    </row>
    <row r="337" customFormat="false" ht="15" hidden="false" customHeight="false" outlineLevel="0" collapsed="false">
      <c r="B337" s="2" t="n">
        <v>45946</v>
      </c>
      <c r="C337" s="3" t="n">
        <f aca="false">MONTH(B337)</f>
        <v>10</v>
      </c>
      <c r="D337" s="0" t="n">
        <v>20220013533</v>
      </c>
      <c r="E337" s="0" t="s">
        <v>79</v>
      </c>
      <c r="F337" s="0" t="s">
        <v>80</v>
      </c>
      <c r="G337" s="0" t="s">
        <v>81</v>
      </c>
      <c r="H337" s="0" t="s">
        <v>25</v>
      </c>
      <c r="I337" s="0" t="str">
        <f aca="false">VLOOKUP(H337,'rozdělení obchodníků'!B:D,3, )</f>
        <v>Praha</v>
      </c>
      <c r="J337" s="4" t="n">
        <v>1500000</v>
      </c>
    </row>
    <row r="338" customFormat="false" ht="15" hidden="false" customHeight="false" outlineLevel="0" collapsed="false">
      <c r="B338" s="2" t="n">
        <v>45946</v>
      </c>
      <c r="C338" s="3" t="n">
        <f aca="false">MONTH(B338)</f>
        <v>10</v>
      </c>
      <c r="D338" s="0" t="n">
        <v>20220013536</v>
      </c>
      <c r="E338" s="0" t="s">
        <v>79</v>
      </c>
      <c r="F338" s="0" t="s">
        <v>82</v>
      </c>
      <c r="G338" s="0" t="s">
        <v>81</v>
      </c>
      <c r="H338" s="0" t="s">
        <v>57</v>
      </c>
      <c r="I338" s="0" t="str">
        <f aca="false">VLOOKUP(H338,'rozdělení obchodníků'!B:D,3, )</f>
        <v>Čechy</v>
      </c>
      <c r="J338" s="4" t="n">
        <v>100000</v>
      </c>
    </row>
    <row r="339" customFormat="false" ht="15" hidden="false" customHeight="false" outlineLevel="0" collapsed="false">
      <c r="B339" s="2" t="n">
        <v>45946</v>
      </c>
      <c r="C339" s="3" t="n">
        <f aca="false">MONTH(B339)</f>
        <v>10</v>
      </c>
      <c r="D339" s="0" t="n">
        <v>20220013539</v>
      </c>
      <c r="E339" s="0" t="s">
        <v>79</v>
      </c>
      <c r="F339" s="0" t="s">
        <v>82</v>
      </c>
      <c r="G339" s="0" t="s">
        <v>81</v>
      </c>
      <c r="H339" s="0" t="s">
        <v>57</v>
      </c>
      <c r="I339" s="0" t="str">
        <f aca="false">VLOOKUP(H339,'rozdělení obchodníků'!B:D,3, )</f>
        <v>Čechy</v>
      </c>
      <c r="J339" s="4" t="n">
        <v>100000</v>
      </c>
    </row>
    <row r="340" customFormat="false" ht="15" hidden="false" customHeight="false" outlineLevel="0" collapsed="false">
      <c r="B340" s="2" t="n">
        <v>45946</v>
      </c>
      <c r="C340" s="3" t="n">
        <f aca="false">MONTH(B340)</f>
        <v>10</v>
      </c>
      <c r="D340" s="0" t="n">
        <v>20220013542</v>
      </c>
      <c r="E340" s="0" t="s">
        <v>79</v>
      </c>
      <c r="F340" s="0" t="s">
        <v>82</v>
      </c>
      <c r="G340" s="0" t="s">
        <v>81</v>
      </c>
      <c r="H340" s="0" t="s">
        <v>61</v>
      </c>
      <c r="I340" s="0" t="str">
        <f aca="false">VLOOKUP(H340,'rozdělení obchodníků'!B:D,3, )</f>
        <v>Morava</v>
      </c>
      <c r="J340" s="4" t="n">
        <v>100000</v>
      </c>
    </row>
    <row r="341" customFormat="false" ht="15" hidden="false" customHeight="false" outlineLevel="0" collapsed="false">
      <c r="B341" s="2" t="n">
        <v>45946</v>
      </c>
      <c r="C341" s="3" t="n">
        <f aca="false">MONTH(B341)</f>
        <v>10</v>
      </c>
      <c r="D341" s="0" t="n">
        <v>20220013545</v>
      </c>
      <c r="E341" s="0" t="s">
        <v>79</v>
      </c>
      <c r="F341" s="0" t="s">
        <v>82</v>
      </c>
      <c r="G341" s="0" t="s">
        <v>81</v>
      </c>
      <c r="H341" s="0" t="s">
        <v>61</v>
      </c>
      <c r="I341" s="0" t="str">
        <f aca="false">VLOOKUP(H341,'rozdělení obchodníků'!B:D,3, )</f>
        <v>Morava</v>
      </c>
      <c r="J341" s="4" t="n">
        <v>2000000</v>
      </c>
    </row>
    <row r="342" customFormat="false" ht="15" hidden="false" customHeight="false" outlineLevel="0" collapsed="false">
      <c r="B342" s="2" t="n">
        <v>45946</v>
      </c>
      <c r="C342" s="3" t="n">
        <f aca="false">MONTH(B342)</f>
        <v>10</v>
      </c>
      <c r="D342" s="0" t="n">
        <v>20220013548</v>
      </c>
      <c r="E342" s="0" t="s">
        <v>79</v>
      </c>
      <c r="F342" s="0" t="s">
        <v>82</v>
      </c>
      <c r="G342" s="0" t="s">
        <v>81</v>
      </c>
      <c r="H342" s="0" t="s">
        <v>57</v>
      </c>
      <c r="I342" s="0" t="str">
        <f aca="false">VLOOKUP(H342,'rozdělení obchodníků'!B:D,3, )</f>
        <v>Čechy</v>
      </c>
      <c r="J342" s="4" t="n">
        <v>1000000</v>
      </c>
    </row>
    <row r="343" customFormat="false" ht="15" hidden="false" customHeight="false" outlineLevel="0" collapsed="false">
      <c r="B343" s="2" t="n">
        <v>45946</v>
      </c>
      <c r="C343" s="3" t="n">
        <f aca="false">MONTH(B343)</f>
        <v>10</v>
      </c>
      <c r="D343" s="0" t="n">
        <v>20220013551</v>
      </c>
      <c r="E343" s="0" t="s">
        <v>79</v>
      </c>
      <c r="F343" s="0" t="s">
        <v>82</v>
      </c>
      <c r="G343" s="0" t="s">
        <v>81</v>
      </c>
      <c r="H343" s="0" t="s">
        <v>61</v>
      </c>
      <c r="I343" s="0" t="str">
        <f aca="false">VLOOKUP(H343,'rozdělení obchodníků'!B:D,3, )</f>
        <v>Morava</v>
      </c>
      <c r="J343" s="4" t="n">
        <v>750000</v>
      </c>
    </row>
    <row r="344" customFormat="false" ht="15" hidden="false" customHeight="false" outlineLevel="0" collapsed="false">
      <c r="B344" s="2" t="n">
        <v>45946</v>
      </c>
      <c r="C344" s="3" t="n">
        <f aca="false">MONTH(B344)</f>
        <v>10</v>
      </c>
      <c r="D344" s="0" t="n">
        <v>20220013554</v>
      </c>
      <c r="E344" s="0" t="s">
        <v>79</v>
      </c>
      <c r="F344" s="0" t="s">
        <v>82</v>
      </c>
      <c r="G344" s="0" t="s">
        <v>81</v>
      </c>
      <c r="H344" s="0" t="s">
        <v>7</v>
      </c>
      <c r="I344" s="0" t="str">
        <f aca="false">VLOOKUP(H344,'rozdělení obchodníků'!B:D,3, )</f>
        <v>Praha</v>
      </c>
      <c r="J344" s="4" t="n">
        <v>500000</v>
      </c>
    </row>
    <row r="345" customFormat="false" ht="15" hidden="false" customHeight="false" outlineLevel="0" collapsed="false">
      <c r="B345" s="2" t="n">
        <v>45947</v>
      </c>
      <c r="C345" s="3" t="n">
        <f aca="false">MONTH(B345)</f>
        <v>10</v>
      </c>
      <c r="D345" s="0" t="n">
        <v>20220013557</v>
      </c>
      <c r="E345" s="0" t="s">
        <v>79</v>
      </c>
      <c r="F345" s="0" t="s">
        <v>82</v>
      </c>
      <c r="G345" s="0" t="s">
        <v>81</v>
      </c>
      <c r="H345" s="0" t="s">
        <v>12</v>
      </c>
      <c r="I345" s="0" t="str">
        <f aca="false">VLOOKUP(H345,'rozdělení obchodníků'!B:D,3, )</f>
        <v>Morava</v>
      </c>
      <c r="J345" s="4" t="n">
        <v>1000000</v>
      </c>
    </row>
    <row r="346" customFormat="false" ht="15" hidden="false" customHeight="false" outlineLevel="0" collapsed="false">
      <c r="B346" s="2" t="n">
        <v>45947</v>
      </c>
      <c r="C346" s="3" t="n">
        <f aca="false">MONTH(B346)</f>
        <v>10</v>
      </c>
      <c r="D346" s="0" t="n">
        <v>20220013560</v>
      </c>
      <c r="E346" s="0" t="s">
        <v>79</v>
      </c>
      <c r="F346" s="0" t="s">
        <v>83</v>
      </c>
      <c r="G346" s="0" t="s">
        <v>81</v>
      </c>
      <c r="H346" s="0" t="s">
        <v>12</v>
      </c>
      <c r="I346" s="0" t="str">
        <f aca="false">VLOOKUP(H346,'rozdělení obchodníků'!B:D,3, )</f>
        <v>Morava</v>
      </c>
      <c r="J346" s="4" t="n">
        <v>100000</v>
      </c>
    </row>
    <row r="347" customFormat="false" ht="15" hidden="false" customHeight="false" outlineLevel="0" collapsed="false">
      <c r="B347" s="2" t="n">
        <v>45947</v>
      </c>
      <c r="C347" s="3" t="n">
        <f aca="false">MONTH(B347)</f>
        <v>10</v>
      </c>
      <c r="D347" s="0" t="n">
        <v>20220013563</v>
      </c>
      <c r="E347" s="0" t="s">
        <v>79</v>
      </c>
      <c r="F347" s="0" t="s">
        <v>83</v>
      </c>
      <c r="G347" s="0" t="s">
        <v>81</v>
      </c>
      <c r="H347" s="0" t="s">
        <v>12</v>
      </c>
      <c r="I347" s="0" t="str">
        <f aca="false">VLOOKUP(H347,'rozdělení obchodníků'!B:D,3, )</f>
        <v>Morava</v>
      </c>
      <c r="J347" s="4" t="n">
        <v>100000</v>
      </c>
    </row>
    <row r="348" customFormat="false" ht="15" hidden="false" customHeight="false" outlineLevel="0" collapsed="false">
      <c r="B348" s="2" t="n">
        <v>45948</v>
      </c>
      <c r="C348" s="3" t="n">
        <f aca="false">MONTH(B348)</f>
        <v>10</v>
      </c>
      <c r="D348" s="0" t="n">
        <v>20220013566</v>
      </c>
      <c r="E348" s="0" t="s">
        <v>79</v>
      </c>
      <c r="F348" s="0" t="s">
        <v>83</v>
      </c>
      <c r="G348" s="0" t="s">
        <v>81</v>
      </c>
      <c r="H348" s="0" t="s">
        <v>45</v>
      </c>
      <c r="I348" s="0" t="str">
        <f aca="false">VLOOKUP(H348,'rozdělení obchodníků'!B:D,3, )</f>
        <v>Čechy</v>
      </c>
      <c r="J348" s="4" t="n">
        <v>100000</v>
      </c>
    </row>
    <row r="349" customFormat="false" ht="15" hidden="false" customHeight="false" outlineLevel="0" collapsed="false">
      <c r="B349" s="2" t="n">
        <v>45948</v>
      </c>
      <c r="C349" s="3" t="n">
        <f aca="false">MONTH(B349)</f>
        <v>10</v>
      </c>
      <c r="D349" s="0" t="n">
        <v>20220013569</v>
      </c>
      <c r="E349" s="0" t="s">
        <v>79</v>
      </c>
      <c r="F349" s="0" t="s">
        <v>83</v>
      </c>
      <c r="G349" s="0" t="s">
        <v>81</v>
      </c>
      <c r="H349" s="0" t="s">
        <v>45</v>
      </c>
      <c r="I349" s="0" t="str">
        <f aca="false">VLOOKUP(H349,'rozdělení obchodníků'!B:D,3, )</f>
        <v>Čechy</v>
      </c>
      <c r="J349" s="4" t="n">
        <v>1500000</v>
      </c>
    </row>
    <row r="350" customFormat="false" ht="15" hidden="false" customHeight="false" outlineLevel="0" collapsed="false">
      <c r="B350" s="2" t="n">
        <v>45948</v>
      </c>
      <c r="C350" s="3" t="n">
        <f aca="false">MONTH(B350)</f>
        <v>10</v>
      </c>
      <c r="D350" s="0" t="n">
        <v>20220013572</v>
      </c>
      <c r="E350" s="0" t="s">
        <v>79</v>
      </c>
      <c r="F350" s="0" t="s">
        <v>83</v>
      </c>
      <c r="G350" s="0" t="s">
        <v>81</v>
      </c>
      <c r="H350" s="0" t="s">
        <v>45</v>
      </c>
      <c r="I350" s="0" t="str">
        <f aca="false">VLOOKUP(H350,'rozdělení obchodníků'!B:D,3, )</f>
        <v>Čechy</v>
      </c>
      <c r="J350" s="4" t="n">
        <v>100000</v>
      </c>
    </row>
    <row r="351" customFormat="false" ht="15" hidden="false" customHeight="false" outlineLevel="0" collapsed="false">
      <c r="B351" s="2" t="n">
        <v>45948</v>
      </c>
      <c r="C351" s="3" t="n">
        <f aca="false">MONTH(B351)</f>
        <v>10</v>
      </c>
      <c r="D351" s="0" t="n">
        <v>20220013575</v>
      </c>
      <c r="E351" s="0" t="s">
        <v>79</v>
      </c>
      <c r="F351" s="0" t="s">
        <v>83</v>
      </c>
      <c r="G351" s="0" t="s">
        <v>81</v>
      </c>
      <c r="H351" s="0" t="s">
        <v>45</v>
      </c>
      <c r="I351" s="0" t="str">
        <f aca="false">VLOOKUP(H351,'rozdělení obchodníků'!B:D,3, )</f>
        <v>Čechy</v>
      </c>
      <c r="J351" s="4" t="n">
        <v>1250000</v>
      </c>
    </row>
    <row r="352" customFormat="false" ht="15" hidden="false" customHeight="false" outlineLevel="0" collapsed="false">
      <c r="B352" s="2" t="n">
        <v>45948</v>
      </c>
      <c r="C352" s="3" t="n">
        <f aca="false">MONTH(B352)</f>
        <v>10</v>
      </c>
      <c r="D352" s="0" t="n">
        <v>20220013578</v>
      </c>
      <c r="E352" s="0" t="s">
        <v>79</v>
      </c>
      <c r="F352" s="0" t="s">
        <v>83</v>
      </c>
      <c r="G352" s="0" t="s">
        <v>81</v>
      </c>
      <c r="H352" s="0" t="s">
        <v>15</v>
      </c>
      <c r="I352" s="0" t="str">
        <f aca="false">VLOOKUP(H352,'rozdělení obchodníků'!B:D,3, )</f>
        <v>Morava</v>
      </c>
      <c r="J352" s="4" t="n">
        <v>350000</v>
      </c>
    </row>
    <row r="353" customFormat="false" ht="15" hidden="false" customHeight="false" outlineLevel="0" collapsed="false">
      <c r="B353" s="2" t="n">
        <v>45948</v>
      </c>
      <c r="C353" s="3" t="n">
        <f aca="false">MONTH(B353)</f>
        <v>10</v>
      </c>
      <c r="D353" s="0" t="n">
        <v>20220013581</v>
      </c>
      <c r="E353" s="0" t="s">
        <v>79</v>
      </c>
      <c r="F353" s="0" t="s">
        <v>82</v>
      </c>
      <c r="G353" s="0" t="s">
        <v>81</v>
      </c>
      <c r="H353" s="0" t="s">
        <v>61</v>
      </c>
      <c r="I353" s="0" t="str">
        <f aca="false">VLOOKUP(H353,'rozdělení obchodníků'!B:D,3, )</f>
        <v>Morava</v>
      </c>
      <c r="J353" s="4" t="n">
        <v>1000000</v>
      </c>
    </row>
    <row r="354" customFormat="false" ht="15" hidden="false" customHeight="false" outlineLevel="0" collapsed="false">
      <c r="B354" s="2" t="n">
        <v>45948</v>
      </c>
      <c r="C354" s="3" t="n">
        <f aca="false">MONTH(B354)</f>
        <v>10</v>
      </c>
      <c r="D354" s="0" t="n">
        <v>20220013584</v>
      </c>
      <c r="E354" s="0" t="s">
        <v>79</v>
      </c>
      <c r="F354" s="0" t="s">
        <v>82</v>
      </c>
      <c r="G354" s="0" t="s">
        <v>81</v>
      </c>
      <c r="H354" s="0" t="s">
        <v>45</v>
      </c>
      <c r="I354" s="0" t="str">
        <f aca="false">VLOOKUP(H354,'rozdělení obchodníků'!B:D,3, )</f>
        <v>Čechy</v>
      </c>
      <c r="J354" s="4" t="n">
        <v>100000</v>
      </c>
    </row>
    <row r="355" customFormat="false" ht="15" hidden="false" customHeight="false" outlineLevel="0" collapsed="false">
      <c r="B355" s="2" t="n">
        <v>45948</v>
      </c>
      <c r="C355" s="3" t="n">
        <f aca="false">MONTH(B355)</f>
        <v>10</v>
      </c>
      <c r="D355" s="0" t="n">
        <v>20220013587</v>
      </c>
      <c r="E355" s="0" t="s">
        <v>79</v>
      </c>
      <c r="F355" s="0" t="s">
        <v>82</v>
      </c>
      <c r="G355" s="0" t="s">
        <v>81</v>
      </c>
      <c r="H355" s="0" t="s">
        <v>45</v>
      </c>
      <c r="I355" s="0" t="str">
        <f aca="false">VLOOKUP(H355,'rozdělení obchodníků'!B:D,3, )</f>
        <v>Čechy</v>
      </c>
      <c r="J355" s="4" t="n">
        <v>100000</v>
      </c>
    </row>
    <row r="356" customFormat="false" ht="15" hidden="false" customHeight="false" outlineLevel="0" collapsed="false">
      <c r="B356" s="2" t="n">
        <v>45948</v>
      </c>
      <c r="C356" s="3" t="n">
        <f aca="false">MONTH(B356)</f>
        <v>10</v>
      </c>
      <c r="D356" s="0" t="n">
        <v>20220013590</v>
      </c>
      <c r="E356" s="0" t="s">
        <v>79</v>
      </c>
      <c r="F356" s="0" t="s">
        <v>82</v>
      </c>
      <c r="G356" s="0" t="s">
        <v>81</v>
      </c>
      <c r="H356" s="0" t="s">
        <v>45</v>
      </c>
      <c r="I356" s="0" t="str">
        <f aca="false">VLOOKUP(H356,'rozdělení obchodníků'!B:D,3, )</f>
        <v>Čechy</v>
      </c>
      <c r="J356" s="4" t="n">
        <v>750000</v>
      </c>
    </row>
    <row r="357" customFormat="false" ht="15" hidden="false" customHeight="false" outlineLevel="0" collapsed="false">
      <c r="B357" s="2" t="n">
        <v>45948</v>
      </c>
      <c r="C357" s="3" t="n">
        <f aca="false">MONTH(B357)</f>
        <v>10</v>
      </c>
      <c r="D357" s="0" t="n">
        <v>20220013593</v>
      </c>
      <c r="E357" s="0" t="s">
        <v>79</v>
      </c>
      <c r="F357" s="0" t="s">
        <v>82</v>
      </c>
      <c r="G357" s="0" t="s">
        <v>81</v>
      </c>
      <c r="H357" s="0" t="s">
        <v>45</v>
      </c>
      <c r="I357" s="0" t="str">
        <f aca="false">VLOOKUP(H357,'rozdělení obchodníků'!B:D,3, )</f>
        <v>Čechy</v>
      </c>
      <c r="J357" s="4" t="n">
        <v>750000</v>
      </c>
    </row>
    <row r="358" customFormat="false" ht="15" hidden="false" customHeight="false" outlineLevel="0" collapsed="false">
      <c r="B358" s="2" t="n">
        <v>45948</v>
      </c>
      <c r="C358" s="3" t="n">
        <f aca="false">MONTH(B358)</f>
        <v>10</v>
      </c>
      <c r="D358" s="0" t="n">
        <v>20220013596</v>
      </c>
      <c r="E358" s="0" t="s">
        <v>79</v>
      </c>
      <c r="F358" s="0" t="s">
        <v>82</v>
      </c>
      <c r="G358" s="0" t="s">
        <v>81</v>
      </c>
      <c r="H358" s="0" t="s">
        <v>15</v>
      </c>
      <c r="I358" s="0" t="str">
        <f aca="false">VLOOKUP(H358,'rozdělení obchodníků'!B:D,3, )</f>
        <v>Morava</v>
      </c>
      <c r="J358" s="4" t="n">
        <v>1000000</v>
      </c>
    </row>
    <row r="359" customFormat="false" ht="15" hidden="false" customHeight="false" outlineLevel="0" collapsed="false">
      <c r="B359" s="2" t="n">
        <v>45948</v>
      </c>
      <c r="C359" s="3" t="n">
        <f aca="false">MONTH(B359)</f>
        <v>10</v>
      </c>
      <c r="D359" s="0" t="n">
        <v>20220013599</v>
      </c>
      <c r="E359" s="0" t="s">
        <v>79</v>
      </c>
      <c r="F359" s="0" t="s">
        <v>82</v>
      </c>
      <c r="G359" s="0" t="s">
        <v>81</v>
      </c>
      <c r="H359" s="0" t="s">
        <v>61</v>
      </c>
      <c r="I359" s="0" t="str">
        <f aca="false">VLOOKUP(H359,'rozdělení obchodníků'!B:D,3, )</f>
        <v>Morava</v>
      </c>
      <c r="J359" s="4" t="n">
        <v>100000</v>
      </c>
    </row>
    <row r="360" customFormat="false" ht="15" hidden="false" customHeight="false" outlineLevel="0" collapsed="false">
      <c r="B360" s="2" t="n">
        <v>45948</v>
      </c>
      <c r="C360" s="3" t="n">
        <f aca="false">MONTH(B360)</f>
        <v>10</v>
      </c>
      <c r="D360" s="0" t="n">
        <v>20220013602</v>
      </c>
      <c r="E360" s="0" t="s">
        <v>79</v>
      </c>
      <c r="F360" s="0" t="s">
        <v>82</v>
      </c>
      <c r="G360" s="0" t="s">
        <v>81</v>
      </c>
      <c r="H360" s="0" t="s">
        <v>61</v>
      </c>
      <c r="I360" s="0" t="str">
        <f aca="false">VLOOKUP(H360,'rozdělení obchodníků'!B:D,3, )</f>
        <v>Morava</v>
      </c>
      <c r="J360" s="4" t="n">
        <v>100000</v>
      </c>
    </row>
    <row r="361" customFormat="false" ht="15" hidden="false" customHeight="false" outlineLevel="0" collapsed="false">
      <c r="B361" s="2" t="n">
        <v>45948</v>
      </c>
      <c r="C361" s="3" t="n">
        <f aca="false">MONTH(B361)</f>
        <v>10</v>
      </c>
      <c r="D361" s="0" t="n">
        <v>20220013605</v>
      </c>
      <c r="E361" s="0" t="s">
        <v>79</v>
      </c>
      <c r="F361" s="0" t="s">
        <v>80</v>
      </c>
      <c r="G361" s="0" t="s">
        <v>81</v>
      </c>
      <c r="H361" s="0" t="s">
        <v>45</v>
      </c>
      <c r="I361" s="0" t="str">
        <f aca="false">VLOOKUP(H361,'rozdělení obchodníků'!B:D,3, )</f>
        <v>Čechy</v>
      </c>
      <c r="J361" s="4" t="n">
        <v>1000000</v>
      </c>
    </row>
    <row r="362" customFormat="false" ht="15" hidden="false" customHeight="false" outlineLevel="0" collapsed="false">
      <c r="B362" s="2" t="n">
        <v>45948</v>
      </c>
      <c r="C362" s="3" t="n">
        <f aca="false">MONTH(B362)</f>
        <v>10</v>
      </c>
      <c r="D362" s="0" t="n">
        <v>20220013608</v>
      </c>
      <c r="E362" s="0" t="s">
        <v>79</v>
      </c>
      <c r="F362" s="0" t="s">
        <v>80</v>
      </c>
      <c r="G362" s="0" t="s">
        <v>81</v>
      </c>
      <c r="H362" s="0" t="s">
        <v>45</v>
      </c>
      <c r="I362" s="0" t="str">
        <f aca="false">VLOOKUP(H362,'rozdělení obchodníků'!B:D,3, )</f>
        <v>Čechy</v>
      </c>
      <c r="J362" s="4" t="n">
        <v>250000</v>
      </c>
    </row>
    <row r="363" customFormat="false" ht="15" hidden="false" customHeight="false" outlineLevel="0" collapsed="false">
      <c r="B363" s="2" t="n">
        <v>45948</v>
      </c>
      <c r="C363" s="3" t="n">
        <f aca="false">MONTH(B363)</f>
        <v>10</v>
      </c>
      <c r="D363" s="0" t="n">
        <v>20220013611</v>
      </c>
      <c r="E363" s="0" t="s">
        <v>79</v>
      </c>
      <c r="F363" s="0" t="s">
        <v>80</v>
      </c>
      <c r="G363" s="0" t="s">
        <v>81</v>
      </c>
      <c r="H363" s="0" t="s">
        <v>15</v>
      </c>
      <c r="I363" s="0" t="str">
        <f aca="false">VLOOKUP(H363,'rozdělení obchodníků'!B:D,3, )</f>
        <v>Morava</v>
      </c>
      <c r="J363" s="4" t="n">
        <v>1250000</v>
      </c>
    </row>
    <row r="364" customFormat="false" ht="15" hidden="false" customHeight="false" outlineLevel="0" collapsed="false">
      <c r="B364" s="2" t="n">
        <v>45948</v>
      </c>
      <c r="C364" s="3" t="n">
        <f aca="false">MONTH(B364)</f>
        <v>10</v>
      </c>
      <c r="D364" s="0" t="n">
        <v>20220013614</v>
      </c>
      <c r="E364" s="0" t="s">
        <v>79</v>
      </c>
      <c r="F364" s="0" t="s">
        <v>80</v>
      </c>
      <c r="G364" s="0" t="s">
        <v>81</v>
      </c>
      <c r="H364" s="0" t="s">
        <v>15</v>
      </c>
      <c r="I364" s="0" t="str">
        <f aca="false">VLOOKUP(H364,'rozdělení obchodníků'!B:D,3, )</f>
        <v>Morava</v>
      </c>
      <c r="J364" s="4" t="n">
        <v>100000</v>
      </c>
    </row>
    <row r="365" customFormat="false" ht="15" hidden="false" customHeight="false" outlineLevel="0" collapsed="false">
      <c r="B365" s="2" t="n">
        <v>45948</v>
      </c>
      <c r="C365" s="3" t="n">
        <f aca="false">MONTH(B365)</f>
        <v>10</v>
      </c>
      <c r="D365" s="0" t="n">
        <v>20220013617</v>
      </c>
      <c r="E365" s="0" t="s">
        <v>79</v>
      </c>
      <c r="F365" s="0" t="s">
        <v>82</v>
      </c>
      <c r="G365" s="0" t="s">
        <v>81</v>
      </c>
      <c r="H365" s="0" t="s">
        <v>61</v>
      </c>
      <c r="I365" s="0" t="str">
        <f aca="false">VLOOKUP(H365,'rozdělení obchodníků'!B:D,3, )</f>
        <v>Morava</v>
      </c>
      <c r="J365" s="4" t="n">
        <v>1000000</v>
      </c>
    </row>
    <row r="366" customFormat="false" ht="15" hidden="false" customHeight="false" outlineLevel="0" collapsed="false">
      <c r="B366" s="2" t="n">
        <v>45948</v>
      </c>
      <c r="C366" s="3" t="n">
        <f aca="false">MONTH(B366)</f>
        <v>10</v>
      </c>
      <c r="D366" s="0" t="n">
        <v>20220013620</v>
      </c>
      <c r="E366" s="0" t="s">
        <v>79</v>
      </c>
      <c r="F366" s="0" t="s">
        <v>80</v>
      </c>
      <c r="G366" s="0" t="s">
        <v>81</v>
      </c>
      <c r="H366" s="0" t="s">
        <v>23</v>
      </c>
      <c r="I366" s="0" t="str">
        <f aca="false">VLOOKUP(H366,'rozdělení obchodníků'!B:D,3, )</f>
        <v>Čechy</v>
      </c>
      <c r="J366" s="4" t="n">
        <v>100000</v>
      </c>
    </row>
    <row r="367" customFormat="false" ht="15" hidden="false" customHeight="false" outlineLevel="0" collapsed="false">
      <c r="B367" s="2" t="n">
        <v>45948</v>
      </c>
      <c r="C367" s="3" t="n">
        <f aca="false">MONTH(B367)</f>
        <v>10</v>
      </c>
      <c r="D367" s="0" t="n">
        <v>20220013623</v>
      </c>
      <c r="E367" s="0" t="s">
        <v>79</v>
      </c>
      <c r="F367" s="0" t="s">
        <v>80</v>
      </c>
      <c r="G367" s="0" t="s">
        <v>81</v>
      </c>
      <c r="H367" s="0" t="s">
        <v>23</v>
      </c>
      <c r="I367" s="0" t="str">
        <f aca="false">VLOOKUP(H367,'rozdělení obchodníků'!B:D,3, )</f>
        <v>Čechy</v>
      </c>
      <c r="J367" s="4" t="n">
        <v>800000</v>
      </c>
    </row>
    <row r="368" customFormat="false" ht="15" hidden="false" customHeight="false" outlineLevel="0" collapsed="false">
      <c r="B368" s="2" t="n">
        <v>45948</v>
      </c>
      <c r="C368" s="3" t="n">
        <f aca="false">MONTH(B368)</f>
        <v>10</v>
      </c>
      <c r="D368" s="0" t="n">
        <v>20220013626</v>
      </c>
      <c r="E368" s="0" t="s">
        <v>79</v>
      </c>
      <c r="F368" s="0" t="s">
        <v>80</v>
      </c>
      <c r="G368" s="0" t="s">
        <v>81</v>
      </c>
      <c r="H368" s="0" t="s">
        <v>23</v>
      </c>
      <c r="I368" s="0" t="str">
        <f aca="false">VLOOKUP(H368,'rozdělení obchodníků'!B:D,3, )</f>
        <v>Čechy</v>
      </c>
      <c r="J368" s="4" t="n">
        <v>600000</v>
      </c>
    </row>
    <row r="369" customFormat="false" ht="15" hidden="false" customHeight="false" outlineLevel="0" collapsed="false">
      <c r="B369" s="2" t="n">
        <v>45949</v>
      </c>
      <c r="C369" s="3" t="n">
        <f aca="false">MONTH(B369)</f>
        <v>10</v>
      </c>
      <c r="D369" s="0" t="n">
        <v>20220013629</v>
      </c>
      <c r="E369" s="0" t="s">
        <v>79</v>
      </c>
      <c r="F369" s="0" t="s">
        <v>80</v>
      </c>
      <c r="G369" s="0" t="s">
        <v>81</v>
      </c>
      <c r="H369" s="0" t="s">
        <v>53</v>
      </c>
      <c r="I369" s="0" t="str">
        <f aca="false">VLOOKUP(H369,'rozdělení obchodníků'!B:D,3, )</f>
        <v>Praha</v>
      </c>
      <c r="J369" s="4" t="n">
        <v>100000</v>
      </c>
    </row>
    <row r="370" customFormat="false" ht="15" hidden="false" customHeight="false" outlineLevel="0" collapsed="false">
      <c r="B370" s="2" t="n">
        <v>45949</v>
      </c>
      <c r="C370" s="3" t="n">
        <f aca="false">MONTH(B370)</f>
        <v>10</v>
      </c>
      <c r="D370" s="0" t="n">
        <v>20220013632</v>
      </c>
      <c r="E370" s="0" t="s">
        <v>79</v>
      </c>
      <c r="F370" s="0" t="s">
        <v>80</v>
      </c>
      <c r="G370" s="0" t="s">
        <v>81</v>
      </c>
      <c r="H370" s="0" t="s">
        <v>51</v>
      </c>
      <c r="I370" s="0" t="str">
        <f aca="false">VLOOKUP(H370,'rozdělení obchodníků'!B:D,3, )</f>
        <v>Praha</v>
      </c>
      <c r="J370" s="4" t="n">
        <v>100000</v>
      </c>
    </row>
    <row r="371" customFormat="false" ht="15" hidden="false" customHeight="false" outlineLevel="0" collapsed="false">
      <c r="B371" s="2" t="n">
        <v>45949</v>
      </c>
      <c r="C371" s="3" t="n">
        <f aca="false">MONTH(B371)</f>
        <v>10</v>
      </c>
      <c r="D371" s="0" t="n">
        <v>20220013635</v>
      </c>
      <c r="E371" s="0" t="s">
        <v>79</v>
      </c>
      <c r="F371" s="0" t="s">
        <v>82</v>
      </c>
      <c r="G371" s="0" t="s">
        <v>81</v>
      </c>
      <c r="H371" s="0" t="s">
        <v>15</v>
      </c>
      <c r="I371" s="0" t="str">
        <f aca="false">VLOOKUP(H371,'rozdělení obchodníků'!B:D,3, )</f>
        <v>Morava</v>
      </c>
      <c r="J371" s="4" t="n">
        <v>1000000</v>
      </c>
    </row>
    <row r="372" customFormat="false" ht="15" hidden="false" customHeight="false" outlineLevel="0" collapsed="false">
      <c r="B372" s="2" t="n">
        <v>45949</v>
      </c>
      <c r="C372" s="3" t="n">
        <f aca="false">MONTH(B372)</f>
        <v>10</v>
      </c>
      <c r="D372" s="0" t="n">
        <v>20220013638</v>
      </c>
      <c r="E372" s="0" t="s">
        <v>79</v>
      </c>
      <c r="F372" s="0" t="s">
        <v>80</v>
      </c>
      <c r="G372" s="0" t="s">
        <v>81</v>
      </c>
      <c r="H372" s="0" t="s">
        <v>51</v>
      </c>
      <c r="I372" s="0" t="str">
        <f aca="false">VLOOKUP(H372,'rozdělení obchodníků'!B:D,3, )</f>
        <v>Praha</v>
      </c>
      <c r="J372" s="4" t="n">
        <v>750000</v>
      </c>
    </row>
    <row r="373" customFormat="false" ht="15" hidden="false" customHeight="false" outlineLevel="0" collapsed="false">
      <c r="B373" s="2" t="n">
        <v>45949</v>
      </c>
      <c r="C373" s="3" t="n">
        <f aca="false">MONTH(B373)</f>
        <v>10</v>
      </c>
      <c r="D373" s="0" t="n">
        <v>20220013641</v>
      </c>
      <c r="E373" s="0" t="s">
        <v>79</v>
      </c>
      <c r="F373" s="0" t="s">
        <v>80</v>
      </c>
      <c r="G373" s="0" t="s">
        <v>81</v>
      </c>
      <c r="H373" s="0" t="s">
        <v>51</v>
      </c>
      <c r="I373" s="0" t="str">
        <f aca="false">VLOOKUP(H373,'rozdělení obchodníků'!B:D,3, )</f>
        <v>Praha</v>
      </c>
      <c r="J373" s="4" t="n">
        <v>750000</v>
      </c>
    </row>
    <row r="374" customFormat="false" ht="15" hidden="false" customHeight="false" outlineLevel="0" collapsed="false">
      <c r="B374" s="2" t="n">
        <v>45949</v>
      </c>
      <c r="C374" s="3" t="n">
        <f aca="false">MONTH(B374)</f>
        <v>10</v>
      </c>
      <c r="D374" s="0" t="n">
        <v>20220013644</v>
      </c>
      <c r="E374" s="0" t="s">
        <v>79</v>
      </c>
      <c r="F374" s="0" t="s">
        <v>80</v>
      </c>
      <c r="G374" s="0" t="s">
        <v>81</v>
      </c>
      <c r="H374" s="0" t="s">
        <v>15</v>
      </c>
      <c r="I374" s="0" t="str">
        <f aca="false">VLOOKUP(H374,'rozdělení obchodníků'!B:D,3, )</f>
        <v>Morava</v>
      </c>
      <c r="J374" s="4" t="n">
        <v>750000</v>
      </c>
    </row>
    <row r="375" customFormat="false" ht="15" hidden="false" customHeight="false" outlineLevel="0" collapsed="false">
      <c r="B375" s="2" t="n">
        <v>45949</v>
      </c>
      <c r="C375" s="3" t="n">
        <f aca="false">MONTH(B375)</f>
        <v>10</v>
      </c>
      <c r="D375" s="0" t="n">
        <v>20220013647</v>
      </c>
      <c r="E375" s="0" t="s">
        <v>79</v>
      </c>
      <c r="F375" s="0" t="s">
        <v>82</v>
      </c>
      <c r="G375" s="0" t="s">
        <v>81</v>
      </c>
      <c r="H375" s="0" t="s">
        <v>53</v>
      </c>
      <c r="I375" s="0" t="str">
        <f aca="false">VLOOKUP(H375,'rozdělení obchodníků'!B:D,3, )</f>
        <v>Praha</v>
      </c>
      <c r="J375" s="4" t="n">
        <v>950000</v>
      </c>
    </row>
    <row r="376" customFormat="false" ht="15" hidden="false" customHeight="false" outlineLevel="0" collapsed="false">
      <c r="B376" s="2" t="n">
        <v>45949</v>
      </c>
      <c r="C376" s="3" t="n">
        <f aca="false">MONTH(B376)</f>
        <v>10</v>
      </c>
      <c r="D376" s="0" t="n">
        <v>20220013650</v>
      </c>
      <c r="E376" s="0" t="s">
        <v>79</v>
      </c>
      <c r="F376" s="0" t="s">
        <v>82</v>
      </c>
      <c r="G376" s="0" t="s">
        <v>81</v>
      </c>
      <c r="H376" s="0" t="s">
        <v>51</v>
      </c>
      <c r="I376" s="0" t="str">
        <f aca="false">VLOOKUP(H376,'rozdělení obchodníků'!B:D,3, )</f>
        <v>Praha</v>
      </c>
      <c r="J376" s="4" t="n">
        <v>100000</v>
      </c>
    </row>
    <row r="377" customFormat="false" ht="15" hidden="false" customHeight="false" outlineLevel="0" collapsed="false">
      <c r="B377" s="2" t="n">
        <v>45949</v>
      </c>
      <c r="C377" s="3" t="n">
        <f aca="false">MONTH(B377)</f>
        <v>10</v>
      </c>
      <c r="D377" s="0" t="n">
        <v>20220013653</v>
      </c>
      <c r="E377" s="0" t="s">
        <v>79</v>
      </c>
      <c r="F377" s="0" t="s">
        <v>80</v>
      </c>
      <c r="G377" s="0" t="s">
        <v>81</v>
      </c>
      <c r="H377" s="0" t="s">
        <v>15</v>
      </c>
      <c r="I377" s="0" t="str">
        <f aca="false">VLOOKUP(H377,'rozdělení obchodníků'!B:D,3, )</f>
        <v>Morava</v>
      </c>
      <c r="J377" s="4" t="n">
        <v>750000</v>
      </c>
    </row>
    <row r="378" customFormat="false" ht="15" hidden="false" customHeight="false" outlineLevel="0" collapsed="false">
      <c r="B378" s="2" t="n">
        <v>45949</v>
      </c>
      <c r="C378" s="3" t="n">
        <f aca="false">MONTH(B378)</f>
        <v>10</v>
      </c>
      <c r="D378" s="0" t="n">
        <v>20220013656</v>
      </c>
      <c r="E378" s="0" t="s">
        <v>79</v>
      </c>
      <c r="F378" s="0" t="s">
        <v>80</v>
      </c>
      <c r="G378" s="0" t="s">
        <v>81</v>
      </c>
      <c r="H378" s="0" t="s">
        <v>15</v>
      </c>
      <c r="I378" s="0" t="str">
        <f aca="false">VLOOKUP(H378,'rozdělení obchodníků'!B:D,3, )</f>
        <v>Morava</v>
      </c>
      <c r="J378" s="4" t="n">
        <v>750000</v>
      </c>
    </row>
    <row r="379" customFormat="false" ht="15" hidden="false" customHeight="false" outlineLevel="0" collapsed="false">
      <c r="B379" s="2" t="n">
        <v>45949</v>
      </c>
      <c r="C379" s="3" t="n">
        <f aca="false">MONTH(B379)</f>
        <v>10</v>
      </c>
      <c r="D379" s="0" t="n">
        <v>20220013659</v>
      </c>
      <c r="E379" s="0" t="s">
        <v>79</v>
      </c>
      <c r="F379" s="0" t="s">
        <v>80</v>
      </c>
      <c r="G379" s="0" t="s">
        <v>81</v>
      </c>
      <c r="H379" s="0" t="s">
        <v>23</v>
      </c>
      <c r="I379" s="0" t="str">
        <f aca="false">VLOOKUP(H379,'rozdělení obchodníků'!B:D,3, )</f>
        <v>Čechy</v>
      </c>
      <c r="J379" s="4" t="n">
        <v>100000</v>
      </c>
    </row>
    <row r="380" customFormat="false" ht="15" hidden="false" customHeight="false" outlineLevel="0" collapsed="false">
      <c r="B380" s="2" t="n">
        <v>45949</v>
      </c>
      <c r="C380" s="3" t="n">
        <f aca="false">MONTH(B380)</f>
        <v>10</v>
      </c>
      <c r="D380" s="0" t="n">
        <v>20220013662</v>
      </c>
      <c r="E380" s="0" t="s">
        <v>79</v>
      </c>
      <c r="F380" s="0" t="s">
        <v>80</v>
      </c>
      <c r="G380" s="0" t="s">
        <v>81</v>
      </c>
      <c r="H380" s="0" t="s">
        <v>23</v>
      </c>
      <c r="I380" s="0" t="str">
        <f aca="false">VLOOKUP(H380,'rozdělení obchodníků'!B:D,3, )</f>
        <v>Čechy</v>
      </c>
      <c r="J380" s="4" t="n">
        <v>100000</v>
      </c>
    </row>
    <row r="381" customFormat="false" ht="15" hidden="false" customHeight="false" outlineLevel="0" collapsed="false">
      <c r="B381" s="2" t="n">
        <v>45949</v>
      </c>
      <c r="C381" s="3" t="n">
        <f aca="false">MONTH(B381)</f>
        <v>10</v>
      </c>
      <c r="D381" s="0" t="n">
        <v>20220013665</v>
      </c>
      <c r="E381" s="0" t="s">
        <v>79</v>
      </c>
      <c r="F381" s="0" t="s">
        <v>80</v>
      </c>
      <c r="G381" s="0" t="s">
        <v>81</v>
      </c>
      <c r="H381" s="0" t="s">
        <v>23</v>
      </c>
      <c r="I381" s="0" t="str">
        <f aca="false">VLOOKUP(H381,'rozdělení obchodníků'!B:D,3, )</f>
        <v>Čechy</v>
      </c>
      <c r="J381" s="4" t="n">
        <v>600000</v>
      </c>
    </row>
    <row r="382" customFormat="false" ht="15" hidden="false" customHeight="false" outlineLevel="0" collapsed="false">
      <c r="B382" s="2" t="n">
        <v>45949</v>
      </c>
      <c r="C382" s="3" t="n">
        <f aca="false">MONTH(B382)</f>
        <v>10</v>
      </c>
      <c r="D382" s="0" t="n">
        <v>20220013668</v>
      </c>
      <c r="E382" s="0" t="s">
        <v>79</v>
      </c>
      <c r="F382" s="0" t="s">
        <v>80</v>
      </c>
      <c r="G382" s="0" t="s">
        <v>81</v>
      </c>
      <c r="H382" s="0" t="s">
        <v>23</v>
      </c>
      <c r="I382" s="0" t="str">
        <f aca="false">VLOOKUP(H382,'rozdělení obchodníků'!B:D,3, )</f>
        <v>Čechy</v>
      </c>
      <c r="J382" s="4" t="n">
        <v>750000</v>
      </c>
    </row>
    <row r="383" customFormat="false" ht="15" hidden="false" customHeight="false" outlineLevel="0" collapsed="false">
      <c r="B383" s="2" t="n">
        <v>45950</v>
      </c>
      <c r="C383" s="3" t="n">
        <f aca="false">MONTH(B383)</f>
        <v>10</v>
      </c>
      <c r="D383" s="0" t="n">
        <v>20220013671</v>
      </c>
      <c r="E383" s="0" t="s">
        <v>79</v>
      </c>
      <c r="F383" s="0" t="s">
        <v>82</v>
      </c>
      <c r="G383" s="0" t="s">
        <v>81</v>
      </c>
      <c r="H383" s="0" t="s">
        <v>65</v>
      </c>
      <c r="I383" s="0" t="str">
        <f aca="false">VLOOKUP(H383,'rozdělení obchodníků'!B:D,3, )</f>
        <v>Praha</v>
      </c>
      <c r="J383" s="4" t="n">
        <v>100000</v>
      </c>
    </row>
    <row r="384" customFormat="false" ht="15" hidden="false" customHeight="false" outlineLevel="0" collapsed="false">
      <c r="B384" s="2" t="n">
        <v>45950</v>
      </c>
      <c r="C384" s="3" t="n">
        <f aca="false">MONTH(B384)</f>
        <v>10</v>
      </c>
      <c r="D384" s="0" t="n">
        <v>20220013674</v>
      </c>
      <c r="E384" s="0" t="s">
        <v>79</v>
      </c>
      <c r="F384" s="0" t="s">
        <v>82</v>
      </c>
      <c r="G384" s="0" t="s">
        <v>81</v>
      </c>
      <c r="H384" s="0" t="s">
        <v>65</v>
      </c>
      <c r="I384" s="0" t="str">
        <f aca="false">VLOOKUP(H384,'rozdělení obchodníků'!B:D,3, )</f>
        <v>Praha</v>
      </c>
      <c r="J384" s="4" t="n">
        <v>100000</v>
      </c>
    </row>
    <row r="385" customFormat="false" ht="15" hidden="false" customHeight="false" outlineLevel="0" collapsed="false">
      <c r="B385" s="2" t="n">
        <v>45950</v>
      </c>
      <c r="C385" s="3" t="n">
        <f aca="false">MONTH(B385)</f>
        <v>10</v>
      </c>
      <c r="D385" s="0" t="n">
        <v>20220013677</v>
      </c>
      <c r="E385" s="0" t="s">
        <v>79</v>
      </c>
      <c r="F385" s="0" t="s">
        <v>80</v>
      </c>
      <c r="G385" s="0" t="s">
        <v>81</v>
      </c>
      <c r="H385" s="0" t="s">
        <v>65</v>
      </c>
      <c r="I385" s="0" t="str">
        <f aca="false">VLOOKUP(H385,'rozdělení obchodníků'!B:D,3, )</f>
        <v>Praha</v>
      </c>
      <c r="J385" s="4" t="n">
        <v>1500000</v>
      </c>
    </row>
    <row r="386" customFormat="false" ht="15" hidden="false" customHeight="false" outlineLevel="0" collapsed="false">
      <c r="B386" s="2" t="n">
        <v>45950</v>
      </c>
      <c r="C386" s="3" t="n">
        <f aca="false">MONTH(B386)</f>
        <v>10</v>
      </c>
      <c r="D386" s="0" t="n">
        <v>20220013680</v>
      </c>
      <c r="E386" s="0" t="s">
        <v>79</v>
      </c>
      <c r="F386" s="0" t="s">
        <v>80</v>
      </c>
      <c r="G386" s="0" t="s">
        <v>81</v>
      </c>
      <c r="H386" s="0" t="s">
        <v>65</v>
      </c>
      <c r="I386" s="0" t="str">
        <f aca="false">VLOOKUP(H386,'rozdělení obchodníků'!B:D,3, )</f>
        <v>Praha</v>
      </c>
      <c r="J386" s="4" t="n">
        <v>100000</v>
      </c>
    </row>
    <row r="387" customFormat="false" ht="15" hidden="false" customHeight="false" outlineLevel="0" collapsed="false">
      <c r="B387" s="2" t="n">
        <v>45950</v>
      </c>
      <c r="C387" s="3" t="n">
        <f aca="false">MONTH(B387)</f>
        <v>10</v>
      </c>
      <c r="D387" s="0" t="n">
        <v>20220013683</v>
      </c>
      <c r="E387" s="0" t="s">
        <v>79</v>
      </c>
      <c r="F387" s="0" t="s">
        <v>80</v>
      </c>
      <c r="G387" s="0" t="s">
        <v>81</v>
      </c>
      <c r="H387" s="0" t="s">
        <v>65</v>
      </c>
      <c r="I387" s="0" t="str">
        <f aca="false">VLOOKUP(H387,'rozdělení obchodníků'!B:D,3, )</f>
        <v>Praha</v>
      </c>
      <c r="J387" s="4" t="n">
        <v>100000</v>
      </c>
    </row>
    <row r="388" customFormat="false" ht="15" hidden="false" customHeight="false" outlineLevel="0" collapsed="false">
      <c r="B388" s="2" t="n">
        <v>45932</v>
      </c>
      <c r="C388" s="3" t="n">
        <f aca="false">MONTH(B388)</f>
        <v>10</v>
      </c>
      <c r="D388" s="0" t="n">
        <v>20220012603</v>
      </c>
      <c r="E388" s="0" t="s">
        <v>79</v>
      </c>
      <c r="F388" s="0" t="s">
        <v>80</v>
      </c>
      <c r="G388" s="0" t="s">
        <v>81</v>
      </c>
      <c r="H388" s="0" t="s">
        <v>21</v>
      </c>
      <c r="I388" s="0" t="str">
        <f aca="false">VLOOKUP(H388,'rozdělení obchodníků'!B:D,3, )</f>
        <v>Praha</v>
      </c>
      <c r="J388" s="4" t="n">
        <v>1500000</v>
      </c>
    </row>
    <row r="389" customFormat="false" ht="15" hidden="false" customHeight="false" outlineLevel="0" collapsed="false">
      <c r="B389" s="2" t="n">
        <v>45950</v>
      </c>
      <c r="C389" s="3" t="n">
        <f aca="false">MONTH(B389)</f>
        <v>10</v>
      </c>
      <c r="D389" s="0" t="n">
        <v>20220013686</v>
      </c>
      <c r="E389" s="0" t="s">
        <v>79</v>
      </c>
      <c r="F389" s="0" t="s">
        <v>80</v>
      </c>
      <c r="G389" s="0" t="s">
        <v>81</v>
      </c>
      <c r="H389" s="0" t="s">
        <v>23</v>
      </c>
      <c r="I389" s="0" t="str">
        <f aca="false">VLOOKUP(H389,'rozdělení obchodníků'!B:D,3, )</f>
        <v>Čechy</v>
      </c>
      <c r="J389" s="4" t="n">
        <v>1250000</v>
      </c>
    </row>
    <row r="390" customFormat="false" ht="15" hidden="false" customHeight="false" outlineLevel="0" collapsed="false">
      <c r="B390" s="2" t="n">
        <v>45950</v>
      </c>
      <c r="C390" s="3" t="n">
        <f aca="false">MONTH(B390)</f>
        <v>10</v>
      </c>
      <c r="D390" s="0" t="n">
        <v>20220013689</v>
      </c>
      <c r="E390" s="0" t="s">
        <v>79</v>
      </c>
      <c r="F390" s="0" t="s">
        <v>80</v>
      </c>
      <c r="G390" s="0" t="s">
        <v>81</v>
      </c>
      <c r="H390" s="0" t="s">
        <v>23</v>
      </c>
      <c r="I390" s="0" t="str">
        <f aca="false">VLOOKUP(H390,'rozdělení obchodníků'!B:D,3, )</f>
        <v>Čechy</v>
      </c>
      <c r="J390" s="4" t="n">
        <v>800000</v>
      </c>
    </row>
    <row r="391" customFormat="false" ht="15" hidden="false" customHeight="false" outlineLevel="0" collapsed="false">
      <c r="B391" s="2" t="n">
        <v>45950</v>
      </c>
      <c r="C391" s="3" t="n">
        <f aca="false">MONTH(B391)</f>
        <v>10</v>
      </c>
      <c r="D391" s="0" t="n">
        <v>20220013692</v>
      </c>
      <c r="E391" s="0" t="s">
        <v>79</v>
      </c>
      <c r="F391" s="0" t="s">
        <v>82</v>
      </c>
      <c r="G391" s="0" t="s">
        <v>81</v>
      </c>
      <c r="H391" s="0" t="s">
        <v>65</v>
      </c>
      <c r="I391" s="0" t="str">
        <f aca="false">VLOOKUP(H391,'rozdělení obchodníků'!B:D,3, )</f>
        <v>Praha</v>
      </c>
      <c r="J391" s="4" t="n">
        <v>100000</v>
      </c>
    </row>
    <row r="392" customFormat="false" ht="15" hidden="false" customHeight="false" outlineLevel="0" collapsed="false">
      <c r="B392" s="2" t="n">
        <v>45950</v>
      </c>
      <c r="C392" s="3" t="n">
        <f aca="false">MONTH(B392)</f>
        <v>10</v>
      </c>
      <c r="D392" s="0" t="n">
        <v>20220013695</v>
      </c>
      <c r="E392" s="0" t="s">
        <v>79</v>
      </c>
      <c r="F392" s="0" t="s">
        <v>82</v>
      </c>
      <c r="G392" s="0" t="s">
        <v>81</v>
      </c>
      <c r="H392" s="0" t="s">
        <v>65</v>
      </c>
      <c r="I392" s="0" t="str">
        <f aca="false">VLOOKUP(H392,'rozdělení obchodníků'!B:D,3, )</f>
        <v>Praha</v>
      </c>
      <c r="J392" s="4" t="n">
        <v>100000</v>
      </c>
    </row>
    <row r="393" customFormat="false" ht="15" hidden="false" customHeight="false" outlineLevel="0" collapsed="false">
      <c r="B393" s="2" t="n">
        <v>45950</v>
      </c>
      <c r="C393" s="3" t="n">
        <f aca="false">MONTH(B393)</f>
        <v>10</v>
      </c>
      <c r="D393" s="0" t="n">
        <v>20220013698</v>
      </c>
      <c r="E393" s="0" t="s">
        <v>79</v>
      </c>
      <c r="F393" s="0" t="s">
        <v>80</v>
      </c>
      <c r="G393" s="0" t="s">
        <v>81</v>
      </c>
      <c r="H393" s="0" t="s">
        <v>65</v>
      </c>
      <c r="I393" s="0" t="str">
        <f aca="false">VLOOKUP(H393,'rozdělení obchodníků'!B:D,3, )</f>
        <v>Praha</v>
      </c>
      <c r="J393" s="4" t="n">
        <v>350000</v>
      </c>
    </row>
    <row r="394" customFormat="false" ht="15" hidden="false" customHeight="false" outlineLevel="0" collapsed="false">
      <c r="B394" s="2" t="n">
        <v>45950</v>
      </c>
      <c r="C394" s="3" t="n">
        <f aca="false">MONTH(B394)</f>
        <v>10</v>
      </c>
      <c r="D394" s="0" t="n">
        <v>20220013701</v>
      </c>
      <c r="E394" s="0" t="s">
        <v>79</v>
      </c>
      <c r="F394" s="0" t="s">
        <v>80</v>
      </c>
      <c r="G394" s="0" t="s">
        <v>81</v>
      </c>
      <c r="H394" s="0" t="s">
        <v>65</v>
      </c>
      <c r="I394" s="0" t="str">
        <f aca="false">VLOOKUP(H394,'rozdělení obchodníků'!B:D,3, )</f>
        <v>Praha</v>
      </c>
      <c r="J394" s="4" t="n">
        <v>750000</v>
      </c>
    </row>
    <row r="395" customFormat="false" ht="15" hidden="false" customHeight="false" outlineLevel="0" collapsed="false">
      <c r="B395" s="2" t="n">
        <v>45950</v>
      </c>
      <c r="C395" s="3" t="n">
        <f aca="false">MONTH(B395)</f>
        <v>10</v>
      </c>
      <c r="D395" s="0" t="n">
        <v>20220013704</v>
      </c>
      <c r="E395" s="0" t="s">
        <v>79</v>
      </c>
      <c r="F395" s="0" t="s">
        <v>82</v>
      </c>
      <c r="G395" s="0" t="s">
        <v>81</v>
      </c>
      <c r="H395" s="0" t="s">
        <v>23</v>
      </c>
      <c r="I395" s="0" t="str">
        <f aca="false">VLOOKUP(H395,'rozdělení obchodníků'!B:D,3, )</f>
        <v>Čechy</v>
      </c>
      <c r="J395" s="4" t="n">
        <v>100000</v>
      </c>
    </row>
    <row r="396" customFormat="false" ht="15" hidden="false" customHeight="false" outlineLevel="0" collapsed="false">
      <c r="B396" s="2" t="n">
        <v>45950</v>
      </c>
      <c r="C396" s="3" t="n">
        <f aca="false">MONTH(B396)</f>
        <v>10</v>
      </c>
      <c r="D396" s="0" t="n">
        <v>20220013707</v>
      </c>
      <c r="E396" s="0" t="s">
        <v>79</v>
      </c>
      <c r="F396" s="0" t="s">
        <v>82</v>
      </c>
      <c r="G396" s="0" t="s">
        <v>81</v>
      </c>
      <c r="H396" s="0" t="s">
        <v>23</v>
      </c>
      <c r="I396" s="0" t="str">
        <f aca="false">VLOOKUP(H396,'rozdělení obchodníků'!B:D,3, )</f>
        <v>Čechy</v>
      </c>
      <c r="J396" s="4" t="n">
        <v>100000</v>
      </c>
    </row>
    <row r="397" customFormat="false" ht="15" hidden="false" customHeight="false" outlineLevel="0" collapsed="false">
      <c r="B397" s="2" t="n">
        <v>45950</v>
      </c>
      <c r="C397" s="3" t="n">
        <f aca="false">MONTH(B397)</f>
        <v>10</v>
      </c>
      <c r="D397" s="0" t="n">
        <v>20220013710</v>
      </c>
      <c r="E397" s="0" t="s">
        <v>79</v>
      </c>
      <c r="F397" s="0" t="s">
        <v>82</v>
      </c>
      <c r="G397" s="0" t="s">
        <v>81</v>
      </c>
      <c r="H397" s="0" t="s">
        <v>31</v>
      </c>
      <c r="I397" s="0" t="str">
        <f aca="false">VLOOKUP(H397,'rozdělení obchodníků'!B:D,3, )</f>
        <v>Morava</v>
      </c>
      <c r="J397" s="4" t="n">
        <v>300000</v>
      </c>
    </row>
    <row r="398" customFormat="false" ht="15" hidden="false" customHeight="false" outlineLevel="0" collapsed="false">
      <c r="B398" s="2" t="n">
        <v>45951</v>
      </c>
      <c r="C398" s="3" t="n">
        <f aca="false">MONTH(B398)</f>
        <v>10</v>
      </c>
      <c r="D398" s="0" t="n">
        <v>20220013713</v>
      </c>
      <c r="E398" s="0" t="s">
        <v>79</v>
      </c>
      <c r="F398" s="0" t="s">
        <v>80</v>
      </c>
      <c r="G398" s="0" t="s">
        <v>81</v>
      </c>
      <c r="H398" s="0" t="s">
        <v>37</v>
      </c>
      <c r="I398" s="0" t="str">
        <f aca="false">VLOOKUP(H398,'rozdělení obchodníků'!B:D,3, )</f>
        <v>Morava</v>
      </c>
      <c r="J398" s="4" t="n">
        <v>600000</v>
      </c>
    </row>
    <row r="399" customFormat="false" ht="15" hidden="false" customHeight="false" outlineLevel="0" collapsed="false">
      <c r="B399" s="2" t="n">
        <v>45951</v>
      </c>
      <c r="C399" s="3" t="n">
        <f aca="false">MONTH(B399)</f>
        <v>10</v>
      </c>
      <c r="D399" s="0" t="n">
        <v>20220013716</v>
      </c>
      <c r="E399" s="0" t="s">
        <v>79</v>
      </c>
      <c r="F399" s="0" t="s">
        <v>80</v>
      </c>
      <c r="G399" s="0" t="s">
        <v>81</v>
      </c>
      <c r="H399" s="0" t="s">
        <v>51</v>
      </c>
      <c r="I399" s="0" t="str">
        <f aca="false">VLOOKUP(H399,'rozdělení obchodníků'!B:D,3, )</f>
        <v>Praha</v>
      </c>
      <c r="J399" s="4" t="n">
        <v>1250000</v>
      </c>
    </row>
    <row r="400" customFormat="false" ht="15" hidden="false" customHeight="false" outlineLevel="0" collapsed="false">
      <c r="B400" s="2" t="n">
        <v>45951</v>
      </c>
      <c r="C400" s="3" t="n">
        <f aca="false">MONTH(B400)</f>
        <v>10</v>
      </c>
      <c r="D400" s="0" t="n">
        <v>20220013719</v>
      </c>
      <c r="E400" s="0" t="s">
        <v>79</v>
      </c>
      <c r="F400" s="0" t="s">
        <v>80</v>
      </c>
      <c r="G400" s="0" t="s">
        <v>81</v>
      </c>
      <c r="H400" s="0" t="s">
        <v>51</v>
      </c>
      <c r="I400" s="0" t="str">
        <f aca="false">VLOOKUP(H400,'rozdělení obchodníků'!B:D,3, )</f>
        <v>Praha</v>
      </c>
      <c r="J400" s="4" t="n">
        <v>100000</v>
      </c>
    </row>
    <row r="401" customFormat="false" ht="15" hidden="false" customHeight="false" outlineLevel="0" collapsed="false">
      <c r="B401" s="2" t="n">
        <v>45951</v>
      </c>
      <c r="C401" s="3" t="n">
        <f aca="false">MONTH(B401)</f>
        <v>10</v>
      </c>
      <c r="D401" s="0" t="n">
        <v>20220013722</v>
      </c>
      <c r="E401" s="0" t="s">
        <v>79</v>
      </c>
      <c r="F401" s="0" t="s">
        <v>80</v>
      </c>
      <c r="G401" s="0" t="s">
        <v>81</v>
      </c>
      <c r="H401" s="0" t="s">
        <v>25</v>
      </c>
      <c r="I401" s="0" t="str">
        <f aca="false">VLOOKUP(H401,'rozdělení obchodníků'!B:D,3, )</f>
        <v>Praha</v>
      </c>
      <c r="J401" s="4" t="n">
        <v>2000000</v>
      </c>
    </row>
    <row r="402" customFormat="false" ht="15" hidden="false" customHeight="false" outlineLevel="0" collapsed="false">
      <c r="B402" s="2" t="n">
        <v>45951</v>
      </c>
      <c r="C402" s="3" t="n">
        <f aca="false">MONTH(B402)</f>
        <v>10</v>
      </c>
      <c r="D402" s="0" t="n">
        <v>20220013725</v>
      </c>
      <c r="E402" s="0" t="s">
        <v>79</v>
      </c>
      <c r="F402" s="0" t="s">
        <v>82</v>
      </c>
      <c r="G402" s="0" t="s">
        <v>81</v>
      </c>
      <c r="H402" s="0" t="s">
        <v>51</v>
      </c>
      <c r="I402" s="0" t="str">
        <f aca="false">VLOOKUP(H402,'rozdělení obchodníků'!B:D,3, )</f>
        <v>Praha</v>
      </c>
      <c r="J402" s="4" t="n">
        <v>100000</v>
      </c>
    </row>
    <row r="403" customFormat="false" ht="15" hidden="false" customHeight="false" outlineLevel="0" collapsed="false">
      <c r="B403" s="2" t="n">
        <v>45951</v>
      </c>
      <c r="C403" s="3" t="n">
        <f aca="false">MONTH(B403)</f>
        <v>10</v>
      </c>
      <c r="D403" s="0" t="n">
        <v>20220013728</v>
      </c>
      <c r="E403" s="0" t="s">
        <v>79</v>
      </c>
      <c r="F403" s="0" t="s">
        <v>82</v>
      </c>
      <c r="G403" s="0" t="s">
        <v>81</v>
      </c>
      <c r="H403" s="0" t="s">
        <v>7</v>
      </c>
      <c r="I403" s="0" t="str">
        <f aca="false">VLOOKUP(H403,'rozdělení obchodníků'!B:D,3, )</f>
        <v>Praha</v>
      </c>
      <c r="J403" s="4" t="n">
        <v>100000</v>
      </c>
    </row>
    <row r="404" customFormat="false" ht="15" hidden="false" customHeight="false" outlineLevel="0" collapsed="false">
      <c r="B404" s="2" t="n">
        <v>45951</v>
      </c>
      <c r="C404" s="3" t="n">
        <f aca="false">MONTH(B404)</f>
        <v>10</v>
      </c>
      <c r="D404" s="0" t="n">
        <v>20220013731</v>
      </c>
      <c r="E404" s="0" t="s">
        <v>79</v>
      </c>
      <c r="F404" s="0" t="s">
        <v>80</v>
      </c>
      <c r="G404" s="0" t="s">
        <v>81</v>
      </c>
      <c r="H404" s="0" t="s">
        <v>23</v>
      </c>
      <c r="I404" s="0" t="str">
        <f aca="false">VLOOKUP(H404,'rozdělení obchodníků'!B:D,3, )</f>
        <v>Čechy</v>
      </c>
      <c r="J404" s="4" t="n">
        <v>100000</v>
      </c>
    </row>
    <row r="405" customFormat="false" ht="15" hidden="false" customHeight="false" outlineLevel="0" collapsed="false">
      <c r="B405" s="2" t="n">
        <v>45951</v>
      </c>
      <c r="C405" s="3" t="n">
        <f aca="false">MONTH(B405)</f>
        <v>10</v>
      </c>
      <c r="D405" s="0" t="n">
        <v>20220013734</v>
      </c>
      <c r="E405" s="0" t="s">
        <v>79</v>
      </c>
      <c r="F405" s="0" t="s">
        <v>80</v>
      </c>
      <c r="G405" s="0" t="s">
        <v>81</v>
      </c>
      <c r="H405" s="0" t="s">
        <v>23</v>
      </c>
      <c r="I405" s="0" t="str">
        <f aca="false">VLOOKUP(H405,'rozdělení obchodníků'!B:D,3, )</f>
        <v>Čechy</v>
      </c>
      <c r="J405" s="4" t="n">
        <v>1250000</v>
      </c>
    </row>
    <row r="406" customFormat="false" ht="15" hidden="false" customHeight="false" outlineLevel="0" collapsed="false">
      <c r="B406" s="2" t="n">
        <v>45951</v>
      </c>
      <c r="C406" s="3" t="n">
        <f aca="false">MONTH(B406)</f>
        <v>10</v>
      </c>
      <c r="D406" s="0" t="n">
        <v>20220013737</v>
      </c>
      <c r="E406" s="0" t="s">
        <v>79</v>
      </c>
      <c r="F406" s="0" t="s">
        <v>80</v>
      </c>
      <c r="G406" s="0" t="s">
        <v>81</v>
      </c>
      <c r="H406" s="0" t="s">
        <v>51</v>
      </c>
      <c r="I406" s="0" t="str">
        <f aca="false">VLOOKUP(H406,'rozdělení obchodníků'!B:D,3, )</f>
        <v>Praha</v>
      </c>
      <c r="J406" s="4" t="n">
        <v>750000</v>
      </c>
    </row>
    <row r="407" customFormat="false" ht="15" hidden="false" customHeight="false" outlineLevel="0" collapsed="false">
      <c r="B407" s="2" t="n">
        <v>45951</v>
      </c>
      <c r="C407" s="3" t="n">
        <f aca="false">MONTH(B407)</f>
        <v>10</v>
      </c>
      <c r="D407" s="0" t="n">
        <v>20220013740</v>
      </c>
      <c r="E407" s="0" t="s">
        <v>79</v>
      </c>
      <c r="F407" s="0" t="s">
        <v>80</v>
      </c>
      <c r="G407" s="0" t="s">
        <v>81</v>
      </c>
      <c r="H407" s="0" t="s">
        <v>51</v>
      </c>
      <c r="I407" s="0" t="str">
        <f aca="false">VLOOKUP(H407,'rozdělení obchodníků'!B:D,3, )</f>
        <v>Praha</v>
      </c>
      <c r="J407" s="4" t="n">
        <v>750000</v>
      </c>
    </row>
    <row r="408" customFormat="false" ht="15" hidden="false" customHeight="false" outlineLevel="0" collapsed="false">
      <c r="B408" s="2" t="n">
        <v>45951</v>
      </c>
      <c r="C408" s="3" t="n">
        <f aca="false">MONTH(B408)</f>
        <v>10</v>
      </c>
      <c r="D408" s="0" t="n">
        <v>20220013743</v>
      </c>
      <c r="E408" s="0" t="s">
        <v>79</v>
      </c>
      <c r="F408" s="0" t="s">
        <v>82</v>
      </c>
      <c r="G408" s="0" t="s">
        <v>81</v>
      </c>
      <c r="H408" s="0" t="s">
        <v>53</v>
      </c>
      <c r="I408" s="0" t="str">
        <f aca="false">VLOOKUP(H408,'rozdělení obchodníků'!B:D,3, )</f>
        <v>Praha</v>
      </c>
      <c r="J408" s="4" t="n">
        <v>250000</v>
      </c>
    </row>
    <row r="409" customFormat="false" ht="15" hidden="false" customHeight="false" outlineLevel="0" collapsed="false">
      <c r="B409" s="2" t="n">
        <v>45951</v>
      </c>
      <c r="C409" s="3" t="n">
        <f aca="false">MONTH(B409)</f>
        <v>10</v>
      </c>
      <c r="D409" s="0" t="n">
        <v>20220013746</v>
      </c>
      <c r="E409" s="0" t="s">
        <v>79</v>
      </c>
      <c r="F409" s="0" t="s">
        <v>80</v>
      </c>
      <c r="G409" s="0" t="s">
        <v>81</v>
      </c>
      <c r="H409" s="0" t="s">
        <v>51</v>
      </c>
      <c r="I409" s="0" t="str">
        <f aca="false">VLOOKUP(H409,'rozdělení obchodníků'!B:D,3, )</f>
        <v>Praha</v>
      </c>
      <c r="J409" s="4" t="n">
        <v>1000000</v>
      </c>
    </row>
    <row r="410" customFormat="false" ht="15" hidden="false" customHeight="false" outlineLevel="0" collapsed="false">
      <c r="B410" s="2" t="n">
        <v>45951</v>
      </c>
      <c r="C410" s="3" t="n">
        <f aca="false">MONTH(B410)</f>
        <v>10</v>
      </c>
      <c r="D410" s="0" t="n">
        <v>20220013749</v>
      </c>
      <c r="E410" s="0" t="s">
        <v>79</v>
      </c>
      <c r="F410" s="0" t="s">
        <v>80</v>
      </c>
      <c r="G410" s="0" t="s">
        <v>81</v>
      </c>
      <c r="H410" s="0" t="s">
        <v>23</v>
      </c>
      <c r="I410" s="0" t="str">
        <f aca="false">VLOOKUP(H410,'rozdělení obchodníků'!B:D,3, )</f>
        <v>Čechy</v>
      </c>
      <c r="J410" s="4" t="n">
        <v>100000</v>
      </c>
    </row>
    <row r="411" customFormat="false" ht="15" hidden="false" customHeight="false" outlineLevel="0" collapsed="false">
      <c r="B411" s="2" t="n">
        <v>45951</v>
      </c>
      <c r="C411" s="3" t="n">
        <f aca="false">MONTH(B411)</f>
        <v>10</v>
      </c>
      <c r="D411" s="0" t="n">
        <v>20220013752</v>
      </c>
      <c r="E411" s="0" t="s">
        <v>79</v>
      </c>
      <c r="F411" s="0" t="s">
        <v>80</v>
      </c>
      <c r="G411" s="0" t="s">
        <v>81</v>
      </c>
      <c r="H411" s="0" t="s">
        <v>23</v>
      </c>
      <c r="I411" s="0" t="str">
        <f aca="false">VLOOKUP(H411,'rozdělení obchodníků'!B:D,3, )</f>
        <v>Čechy</v>
      </c>
      <c r="J411" s="4" t="n">
        <v>100000</v>
      </c>
    </row>
    <row r="412" customFormat="false" ht="15" hidden="false" customHeight="false" outlineLevel="0" collapsed="false">
      <c r="B412" s="2" t="n">
        <v>45952</v>
      </c>
      <c r="C412" s="3" t="n">
        <f aca="false">MONTH(B412)</f>
        <v>10</v>
      </c>
      <c r="D412" s="0" t="n">
        <v>20220013755</v>
      </c>
      <c r="E412" s="0" t="s">
        <v>79</v>
      </c>
      <c r="F412" s="0" t="s">
        <v>80</v>
      </c>
      <c r="G412" s="0" t="s">
        <v>81</v>
      </c>
      <c r="H412" s="0" t="s">
        <v>51</v>
      </c>
      <c r="I412" s="0" t="str">
        <f aca="false">VLOOKUP(H412,'rozdělení obchodníků'!B:D,3, )</f>
        <v>Praha</v>
      </c>
      <c r="J412" s="4" t="n">
        <v>1000000</v>
      </c>
    </row>
    <row r="413" customFormat="false" ht="15" hidden="false" customHeight="false" outlineLevel="0" collapsed="false">
      <c r="B413" s="2" t="n">
        <v>45952</v>
      </c>
      <c r="C413" s="3" t="n">
        <f aca="false">MONTH(B413)</f>
        <v>10</v>
      </c>
      <c r="D413" s="0" t="n">
        <v>20220013758</v>
      </c>
      <c r="E413" s="0" t="s">
        <v>79</v>
      </c>
      <c r="F413" s="0" t="s">
        <v>80</v>
      </c>
      <c r="G413" s="0" t="s">
        <v>81</v>
      </c>
      <c r="H413" s="0" t="s">
        <v>51</v>
      </c>
      <c r="I413" s="0" t="str">
        <f aca="false">VLOOKUP(H413,'rozdělení obchodníků'!B:D,3, )</f>
        <v>Praha</v>
      </c>
      <c r="J413" s="4" t="n">
        <v>100000</v>
      </c>
    </row>
    <row r="414" customFormat="false" ht="15" hidden="false" customHeight="false" outlineLevel="0" collapsed="false">
      <c r="B414" s="2" t="n">
        <v>45952</v>
      </c>
      <c r="C414" s="3" t="n">
        <f aca="false">MONTH(B414)</f>
        <v>10</v>
      </c>
      <c r="D414" s="0" t="n">
        <v>20220013761</v>
      </c>
      <c r="E414" s="0" t="s">
        <v>79</v>
      </c>
      <c r="F414" s="0" t="s">
        <v>80</v>
      </c>
      <c r="G414" s="0" t="s">
        <v>81</v>
      </c>
      <c r="H414" s="0" t="s">
        <v>57</v>
      </c>
      <c r="I414" s="0" t="str">
        <f aca="false">VLOOKUP(H414,'rozdělení obchodníků'!B:D,3, )</f>
        <v>Čechy</v>
      </c>
      <c r="J414" s="4" t="n">
        <v>100000</v>
      </c>
    </row>
    <row r="415" customFormat="false" ht="15" hidden="false" customHeight="false" outlineLevel="0" collapsed="false">
      <c r="B415" s="2" t="n">
        <v>45952</v>
      </c>
      <c r="C415" s="3" t="n">
        <f aca="false">MONTH(B415)</f>
        <v>10</v>
      </c>
      <c r="D415" s="0" t="n">
        <v>20220013764</v>
      </c>
      <c r="E415" s="0" t="s">
        <v>79</v>
      </c>
      <c r="F415" s="0" t="s">
        <v>80</v>
      </c>
      <c r="G415" s="0" t="s">
        <v>81</v>
      </c>
      <c r="H415" s="0" t="s">
        <v>57</v>
      </c>
      <c r="I415" s="0" t="str">
        <f aca="false">VLOOKUP(H415,'rozdělení obchodníků'!B:D,3, )</f>
        <v>Čechy</v>
      </c>
      <c r="J415" s="4" t="n">
        <v>100000</v>
      </c>
    </row>
    <row r="416" customFormat="false" ht="15" hidden="false" customHeight="false" outlineLevel="0" collapsed="false">
      <c r="B416" s="2" t="n">
        <v>45952</v>
      </c>
      <c r="C416" s="3" t="n">
        <f aca="false">MONTH(B416)</f>
        <v>10</v>
      </c>
      <c r="D416" s="0" t="n">
        <v>20220013767</v>
      </c>
      <c r="E416" s="0" t="s">
        <v>79</v>
      </c>
      <c r="F416" s="0" t="s">
        <v>82</v>
      </c>
      <c r="G416" s="0" t="s">
        <v>81</v>
      </c>
      <c r="H416" s="0" t="s">
        <v>12</v>
      </c>
      <c r="I416" s="0" t="str">
        <f aca="false">VLOOKUP(H416,'rozdělení obchodníků'!B:D,3, )</f>
        <v>Morava</v>
      </c>
      <c r="J416" s="4" t="n">
        <v>800000</v>
      </c>
    </row>
    <row r="417" customFormat="false" ht="15" hidden="false" customHeight="false" outlineLevel="0" collapsed="false">
      <c r="B417" s="2" t="n">
        <v>45952</v>
      </c>
      <c r="C417" s="3" t="n">
        <f aca="false">MONTH(B417)</f>
        <v>10</v>
      </c>
      <c r="D417" s="0" t="n">
        <v>20220013770</v>
      </c>
      <c r="E417" s="0" t="s">
        <v>79</v>
      </c>
      <c r="F417" s="0" t="s">
        <v>80</v>
      </c>
      <c r="G417" s="0" t="s">
        <v>81</v>
      </c>
      <c r="H417" s="0" t="s">
        <v>7</v>
      </c>
      <c r="I417" s="0" t="str">
        <f aca="false">VLOOKUP(H417,'rozdělení obchodníků'!B:D,3, )</f>
        <v>Praha</v>
      </c>
      <c r="J417" s="4" t="n">
        <v>1250000</v>
      </c>
    </row>
    <row r="418" customFormat="false" ht="15" hidden="false" customHeight="false" outlineLevel="0" collapsed="false">
      <c r="B418" s="2" t="n">
        <v>45952</v>
      </c>
      <c r="C418" s="3" t="n">
        <f aca="false">MONTH(B418)</f>
        <v>10</v>
      </c>
      <c r="D418" s="0" t="n">
        <v>20220013773</v>
      </c>
      <c r="E418" s="0" t="s">
        <v>79</v>
      </c>
      <c r="F418" s="0" t="s">
        <v>80</v>
      </c>
      <c r="G418" s="0" t="s">
        <v>81</v>
      </c>
      <c r="H418" s="0" t="s">
        <v>53</v>
      </c>
      <c r="I418" s="0" t="str">
        <f aca="false">VLOOKUP(H418,'rozdělení obchodníků'!B:D,3, )</f>
        <v>Praha</v>
      </c>
      <c r="J418" s="4" t="n">
        <v>750000</v>
      </c>
    </row>
    <row r="419" customFormat="false" ht="15" hidden="false" customHeight="false" outlineLevel="0" collapsed="false">
      <c r="B419" s="2" t="n">
        <v>45952</v>
      </c>
      <c r="C419" s="3" t="n">
        <f aca="false">MONTH(B419)</f>
        <v>10</v>
      </c>
      <c r="D419" s="0" t="n">
        <v>20220013776</v>
      </c>
      <c r="E419" s="0" t="s">
        <v>79</v>
      </c>
      <c r="F419" s="0" t="s">
        <v>80</v>
      </c>
      <c r="G419" s="0" t="s">
        <v>81</v>
      </c>
      <c r="H419" s="0" t="s">
        <v>57</v>
      </c>
      <c r="I419" s="0" t="str">
        <f aca="false">VLOOKUP(H419,'rozdělení obchodníků'!B:D,3, )</f>
        <v>Čechy</v>
      </c>
      <c r="J419" s="4" t="n">
        <v>100000</v>
      </c>
    </row>
    <row r="420" customFormat="false" ht="15" hidden="false" customHeight="false" outlineLevel="0" collapsed="false">
      <c r="B420" s="2" t="n">
        <v>45952</v>
      </c>
      <c r="C420" s="3" t="n">
        <f aca="false">MONTH(B420)</f>
        <v>10</v>
      </c>
      <c r="D420" s="0" t="n">
        <v>20220013779</v>
      </c>
      <c r="E420" s="0" t="s">
        <v>79</v>
      </c>
      <c r="F420" s="0" t="s">
        <v>80</v>
      </c>
      <c r="G420" s="0" t="s">
        <v>81</v>
      </c>
      <c r="H420" s="0" t="s">
        <v>57</v>
      </c>
      <c r="I420" s="0" t="str">
        <f aca="false">VLOOKUP(H420,'rozdělení obchodníků'!B:D,3, )</f>
        <v>Čechy</v>
      </c>
      <c r="J420" s="4" t="n">
        <v>100000</v>
      </c>
    </row>
    <row r="421" customFormat="false" ht="15" hidden="false" customHeight="false" outlineLevel="0" collapsed="false">
      <c r="B421" s="2" t="n">
        <v>45952</v>
      </c>
      <c r="C421" s="3" t="n">
        <f aca="false">MONTH(B421)</f>
        <v>10</v>
      </c>
      <c r="D421" s="0" t="n">
        <v>20220013782</v>
      </c>
      <c r="E421" s="0" t="s">
        <v>79</v>
      </c>
      <c r="F421" s="0" t="s">
        <v>80</v>
      </c>
      <c r="G421" s="0" t="s">
        <v>81</v>
      </c>
      <c r="H421" s="0" t="s">
        <v>12</v>
      </c>
      <c r="I421" s="0" t="str">
        <f aca="false">VLOOKUP(H421,'rozdělení obchodníků'!B:D,3, )</f>
        <v>Morava</v>
      </c>
      <c r="J421" s="4" t="n">
        <v>750000</v>
      </c>
    </row>
    <row r="422" customFormat="false" ht="15" hidden="false" customHeight="false" outlineLevel="0" collapsed="false">
      <c r="B422" s="2" t="n">
        <v>45952</v>
      </c>
      <c r="C422" s="3" t="n">
        <f aca="false">MONTH(B422)</f>
        <v>10</v>
      </c>
      <c r="D422" s="0" t="n">
        <v>20220013785</v>
      </c>
      <c r="E422" s="0" t="s">
        <v>79</v>
      </c>
      <c r="F422" s="0" t="s">
        <v>80</v>
      </c>
      <c r="G422" s="0" t="s">
        <v>81</v>
      </c>
      <c r="H422" s="0" t="s">
        <v>12</v>
      </c>
      <c r="I422" s="0" t="str">
        <f aca="false">VLOOKUP(H422,'rozdělení obchodníků'!B:D,3, )</f>
        <v>Morava</v>
      </c>
      <c r="J422" s="4" t="n">
        <v>750000</v>
      </c>
    </row>
    <row r="423" customFormat="false" ht="15" hidden="false" customHeight="false" outlineLevel="0" collapsed="false">
      <c r="B423" s="2" t="n">
        <v>45952</v>
      </c>
      <c r="C423" s="3" t="n">
        <f aca="false">MONTH(B423)</f>
        <v>10</v>
      </c>
      <c r="D423" s="0" t="n">
        <v>20220013788</v>
      </c>
      <c r="E423" s="0" t="s">
        <v>79</v>
      </c>
      <c r="F423" s="0" t="s">
        <v>82</v>
      </c>
      <c r="G423" s="0" t="s">
        <v>81</v>
      </c>
      <c r="H423" s="0" t="s">
        <v>51</v>
      </c>
      <c r="I423" s="0" t="str">
        <f aca="false">VLOOKUP(H423,'rozdělení obchodníků'!B:D,3, )</f>
        <v>Praha</v>
      </c>
      <c r="J423" s="4" t="n">
        <v>750000</v>
      </c>
    </row>
    <row r="424" customFormat="false" ht="15" hidden="false" customHeight="false" outlineLevel="0" collapsed="false">
      <c r="B424" s="2" t="n">
        <v>45952</v>
      </c>
      <c r="C424" s="3" t="n">
        <f aca="false">MONTH(B424)</f>
        <v>10</v>
      </c>
      <c r="D424" s="0" t="n">
        <v>20220013791</v>
      </c>
      <c r="E424" s="0" t="s">
        <v>79</v>
      </c>
      <c r="F424" s="0" t="s">
        <v>80</v>
      </c>
      <c r="G424" s="0" t="s">
        <v>81</v>
      </c>
      <c r="H424" s="0" t="s">
        <v>57</v>
      </c>
      <c r="I424" s="0" t="str">
        <f aca="false">VLOOKUP(H424,'rozdělení obchodníků'!B:D,3, )</f>
        <v>Čechy</v>
      </c>
      <c r="J424" s="4" t="n">
        <v>100000</v>
      </c>
    </row>
    <row r="425" customFormat="false" ht="15" hidden="false" customHeight="false" outlineLevel="0" collapsed="false">
      <c r="B425" s="2" t="n">
        <v>45952</v>
      </c>
      <c r="C425" s="3" t="n">
        <f aca="false">MONTH(B425)</f>
        <v>10</v>
      </c>
      <c r="D425" s="0" t="n">
        <v>20220013794</v>
      </c>
      <c r="E425" s="0" t="s">
        <v>79</v>
      </c>
      <c r="F425" s="0" t="s">
        <v>80</v>
      </c>
      <c r="G425" s="0" t="s">
        <v>81</v>
      </c>
      <c r="H425" s="0" t="s">
        <v>57</v>
      </c>
      <c r="I425" s="0" t="str">
        <f aca="false">VLOOKUP(H425,'rozdělení obchodníků'!B:D,3, )</f>
        <v>Čechy</v>
      </c>
      <c r="J425" s="4" t="n">
        <v>1250000</v>
      </c>
    </row>
    <row r="426" customFormat="false" ht="15" hidden="false" customHeight="false" outlineLevel="0" collapsed="false">
      <c r="B426" s="2" t="n">
        <v>45952</v>
      </c>
      <c r="C426" s="3" t="n">
        <f aca="false">MONTH(B426)</f>
        <v>10</v>
      </c>
      <c r="D426" s="0" t="n">
        <v>20220013797</v>
      </c>
      <c r="E426" s="0" t="s">
        <v>79</v>
      </c>
      <c r="F426" s="0" t="s">
        <v>80</v>
      </c>
      <c r="G426" s="0" t="s">
        <v>81</v>
      </c>
      <c r="H426" s="0" t="s">
        <v>12</v>
      </c>
      <c r="I426" s="0" t="str">
        <f aca="false">VLOOKUP(H426,'rozdělení obchodníků'!B:D,3, )</f>
        <v>Morava</v>
      </c>
      <c r="J426" s="4" t="n">
        <v>100000</v>
      </c>
    </row>
    <row r="427" customFormat="false" ht="15" hidden="false" customHeight="false" outlineLevel="0" collapsed="false">
      <c r="B427" s="2" t="n">
        <v>45952</v>
      </c>
      <c r="C427" s="3" t="n">
        <f aca="false">MONTH(B427)</f>
        <v>10</v>
      </c>
      <c r="D427" s="0" t="n">
        <v>20220013800</v>
      </c>
      <c r="E427" s="0" t="s">
        <v>79</v>
      </c>
      <c r="F427" s="0" t="s">
        <v>82</v>
      </c>
      <c r="G427" s="0" t="s">
        <v>81</v>
      </c>
      <c r="H427" s="0" t="s">
        <v>23</v>
      </c>
      <c r="I427" s="0" t="str">
        <f aca="false">VLOOKUP(H427,'rozdělení obchodníků'!B:D,3, )</f>
        <v>Čechy</v>
      </c>
      <c r="J427" s="4" t="n">
        <v>1000000</v>
      </c>
    </row>
    <row r="428" customFormat="false" ht="15" hidden="false" customHeight="false" outlineLevel="0" collapsed="false">
      <c r="B428" s="2" t="n">
        <v>45952</v>
      </c>
      <c r="C428" s="3" t="n">
        <f aca="false">MONTH(B428)</f>
        <v>10</v>
      </c>
      <c r="D428" s="0" t="n">
        <v>20220013803</v>
      </c>
      <c r="E428" s="0" t="s">
        <v>79</v>
      </c>
      <c r="F428" s="0" t="s">
        <v>80</v>
      </c>
      <c r="G428" s="0" t="s">
        <v>81</v>
      </c>
      <c r="H428" s="0" t="s">
        <v>23</v>
      </c>
      <c r="I428" s="0" t="str">
        <f aca="false">VLOOKUP(H428,'rozdělení obchodníků'!B:D,3, )</f>
        <v>Čechy</v>
      </c>
      <c r="J428" s="4" t="n">
        <v>100000</v>
      </c>
    </row>
    <row r="429" customFormat="false" ht="15" hidden="false" customHeight="false" outlineLevel="0" collapsed="false">
      <c r="B429" s="2" t="n">
        <v>45952</v>
      </c>
      <c r="C429" s="3" t="n">
        <f aca="false">MONTH(B429)</f>
        <v>10</v>
      </c>
      <c r="D429" s="0" t="n">
        <v>20220013806</v>
      </c>
      <c r="E429" s="0" t="s">
        <v>79</v>
      </c>
      <c r="F429" s="0" t="s">
        <v>80</v>
      </c>
      <c r="G429" s="0" t="s">
        <v>81</v>
      </c>
      <c r="H429" s="0" t="s">
        <v>23</v>
      </c>
      <c r="I429" s="0" t="str">
        <f aca="false">VLOOKUP(H429,'rozdělení obchodníků'!B:D,3, )</f>
        <v>Čechy</v>
      </c>
      <c r="J429" s="4" t="n">
        <v>100000</v>
      </c>
    </row>
    <row r="430" customFormat="false" ht="15" hidden="false" customHeight="false" outlineLevel="0" collapsed="false">
      <c r="B430" s="2" t="n">
        <v>45952</v>
      </c>
      <c r="C430" s="3" t="n">
        <f aca="false">MONTH(B430)</f>
        <v>10</v>
      </c>
      <c r="D430" s="0" t="n">
        <v>20220013809</v>
      </c>
      <c r="E430" s="0" t="s">
        <v>79</v>
      </c>
      <c r="F430" s="0" t="s">
        <v>80</v>
      </c>
      <c r="G430" s="0" t="s">
        <v>81</v>
      </c>
      <c r="H430" s="0" t="s">
        <v>7</v>
      </c>
      <c r="I430" s="0" t="str">
        <f aca="false">VLOOKUP(H430,'rozdělení obchodníků'!B:D,3, )</f>
        <v>Praha</v>
      </c>
      <c r="J430" s="4" t="n">
        <v>500000</v>
      </c>
    </row>
    <row r="431" customFormat="false" ht="15" hidden="false" customHeight="false" outlineLevel="0" collapsed="false">
      <c r="B431" s="2" t="n">
        <v>45952</v>
      </c>
      <c r="C431" s="3" t="n">
        <f aca="false">MONTH(B431)</f>
        <v>10</v>
      </c>
      <c r="D431" s="0" t="n">
        <v>20220013812</v>
      </c>
      <c r="E431" s="0" t="s">
        <v>79</v>
      </c>
      <c r="F431" s="0" t="s">
        <v>82</v>
      </c>
      <c r="G431" s="0" t="s">
        <v>81</v>
      </c>
      <c r="H431" s="0" t="s">
        <v>57</v>
      </c>
      <c r="I431" s="0" t="str">
        <f aca="false">VLOOKUP(H431,'rozdělení obchodníků'!B:D,3, )</f>
        <v>Čechy</v>
      </c>
      <c r="J431" s="4" t="n">
        <v>2000000</v>
      </c>
    </row>
    <row r="432" customFormat="false" ht="15" hidden="false" customHeight="false" outlineLevel="0" collapsed="false">
      <c r="B432" s="2" t="n">
        <v>45952</v>
      </c>
      <c r="C432" s="3" t="n">
        <f aca="false">MONTH(B432)</f>
        <v>10</v>
      </c>
      <c r="D432" s="0" t="n">
        <v>20220013815</v>
      </c>
      <c r="E432" s="0" t="s">
        <v>79</v>
      </c>
      <c r="F432" s="0" t="s">
        <v>82</v>
      </c>
      <c r="G432" s="0" t="s">
        <v>81</v>
      </c>
      <c r="H432" s="0" t="s">
        <v>12</v>
      </c>
      <c r="I432" s="0" t="str">
        <f aca="false">VLOOKUP(H432,'rozdělení obchodníků'!B:D,3, )</f>
        <v>Morava</v>
      </c>
      <c r="J432" s="4" t="n">
        <v>150000</v>
      </c>
    </row>
    <row r="433" customFormat="false" ht="15" hidden="false" customHeight="false" outlineLevel="0" collapsed="false">
      <c r="B433" s="2" t="n">
        <v>45953</v>
      </c>
      <c r="C433" s="3" t="n">
        <f aca="false">MONTH(B433)</f>
        <v>10</v>
      </c>
      <c r="D433" s="0" t="n">
        <v>20220013818</v>
      </c>
      <c r="E433" s="0" t="s">
        <v>79</v>
      </c>
      <c r="F433" s="0" t="s">
        <v>82</v>
      </c>
      <c r="G433" s="0" t="s">
        <v>81</v>
      </c>
      <c r="H433" s="0" t="s">
        <v>45</v>
      </c>
      <c r="I433" s="0" t="str">
        <f aca="false">VLOOKUP(H433,'rozdělení obchodníků'!B:D,3, )</f>
        <v>Čechy</v>
      </c>
      <c r="J433" s="4" t="n">
        <v>1250000</v>
      </c>
    </row>
    <row r="434" customFormat="false" ht="15" hidden="false" customHeight="false" outlineLevel="0" collapsed="false">
      <c r="B434" s="2" t="n">
        <v>45953</v>
      </c>
      <c r="C434" s="3" t="n">
        <f aca="false">MONTH(B434)</f>
        <v>10</v>
      </c>
      <c r="D434" s="0" t="n">
        <v>20220013821</v>
      </c>
      <c r="E434" s="0" t="s">
        <v>79</v>
      </c>
      <c r="F434" s="0" t="s">
        <v>82</v>
      </c>
      <c r="G434" s="0" t="s">
        <v>81</v>
      </c>
      <c r="H434" s="0" t="s">
        <v>45</v>
      </c>
      <c r="I434" s="0" t="str">
        <f aca="false">VLOOKUP(H434,'rozdělení obchodníků'!B:D,3, )</f>
        <v>Čechy</v>
      </c>
      <c r="J434" s="4" t="n">
        <v>100000</v>
      </c>
    </row>
    <row r="435" customFormat="false" ht="15" hidden="false" customHeight="false" outlineLevel="0" collapsed="false">
      <c r="B435" s="2" t="n">
        <v>45953</v>
      </c>
      <c r="C435" s="3" t="n">
        <f aca="false">MONTH(B435)</f>
        <v>10</v>
      </c>
      <c r="D435" s="0" t="n">
        <v>20220013824</v>
      </c>
      <c r="E435" s="0" t="s">
        <v>79</v>
      </c>
      <c r="F435" s="0" t="s">
        <v>82</v>
      </c>
      <c r="G435" s="0" t="s">
        <v>81</v>
      </c>
      <c r="H435" s="0" t="s">
        <v>45</v>
      </c>
      <c r="I435" s="0" t="str">
        <f aca="false">VLOOKUP(H435,'rozdělení obchodníků'!B:D,3, )</f>
        <v>Čechy</v>
      </c>
      <c r="J435" s="4" t="n">
        <v>100000</v>
      </c>
    </row>
    <row r="436" customFormat="false" ht="15" hidden="false" customHeight="false" outlineLevel="0" collapsed="false">
      <c r="B436" s="2" t="n">
        <v>45953</v>
      </c>
      <c r="C436" s="3" t="n">
        <f aca="false">MONTH(B436)</f>
        <v>10</v>
      </c>
      <c r="D436" s="0" t="n">
        <v>20220013827</v>
      </c>
      <c r="E436" s="0" t="s">
        <v>79</v>
      </c>
      <c r="F436" s="0" t="s">
        <v>82</v>
      </c>
      <c r="G436" s="0" t="s">
        <v>81</v>
      </c>
      <c r="H436" s="0" t="s">
        <v>23</v>
      </c>
      <c r="I436" s="0" t="str">
        <f aca="false">VLOOKUP(H436,'rozdělení obchodníků'!B:D,3, )</f>
        <v>Čechy</v>
      </c>
      <c r="J436" s="4" t="n">
        <v>1250000</v>
      </c>
    </row>
    <row r="437" customFormat="false" ht="15" hidden="false" customHeight="false" outlineLevel="0" collapsed="false">
      <c r="B437" s="2" t="n">
        <v>45954</v>
      </c>
      <c r="C437" s="3" t="n">
        <f aca="false">MONTH(B437)</f>
        <v>10</v>
      </c>
      <c r="D437" s="0" t="n">
        <v>20220013830</v>
      </c>
      <c r="E437" s="0" t="s">
        <v>79</v>
      </c>
      <c r="F437" s="0" t="s">
        <v>82</v>
      </c>
      <c r="G437" s="0" t="s">
        <v>81</v>
      </c>
      <c r="H437" s="0" t="s">
        <v>37</v>
      </c>
      <c r="I437" s="0" t="str">
        <f aca="false">VLOOKUP(H437,'rozdělení obchodníků'!B:D,3, )</f>
        <v>Morava</v>
      </c>
      <c r="J437" s="4" t="n">
        <v>750000</v>
      </c>
    </row>
    <row r="438" customFormat="false" ht="15" hidden="false" customHeight="false" outlineLevel="0" collapsed="false">
      <c r="B438" s="2" t="n">
        <v>45954</v>
      </c>
      <c r="C438" s="3" t="n">
        <f aca="false">MONTH(B438)</f>
        <v>10</v>
      </c>
      <c r="D438" s="0" t="n">
        <v>20220013833</v>
      </c>
      <c r="E438" s="0" t="s">
        <v>79</v>
      </c>
      <c r="F438" s="0" t="s">
        <v>80</v>
      </c>
      <c r="G438" s="0" t="s">
        <v>81</v>
      </c>
      <c r="H438" s="0" t="s">
        <v>37</v>
      </c>
      <c r="I438" s="0" t="str">
        <f aca="false">VLOOKUP(H438,'rozdělení obchodníků'!B:D,3, )</f>
        <v>Morava</v>
      </c>
      <c r="J438" s="4" t="n">
        <v>1100000</v>
      </c>
    </row>
    <row r="439" customFormat="false" ht="15" hidden="false" customHeight="false" outlineLevel="0" collapsed="false">
      <c r="B439" s="2" t="n">
        <v>45954</v>
      </c>
      <c r="C439" s="3" t="n">
        <f aca="false">MONTH(B439)</f>
        <v>10</v>
      </c>
      <c r="D439" s="0" t="n">
        <v>20220013836</v>
      </c>
      <c r="E439" s="0" t="s">
        <v>79</v>
      </c>
      <c r="F439" s="0" t="s">
        <v>80</v>
      </c>
      <c r="G439" s="0" t="s">
        <v>81</v>
      </c>
      <c r="H439" s="0" t="s">
        <v>37</v>
      </c>
      <c r="I439" s="0" t="str">
        <f aca="false">VLOOKUP(H439,'rozdělení obchodníků'!B:D,3, )</f>
        <v>Morava</v>
      </c>
      <c r="J439" s="4" t="n">
        <v>100000</v>
      </c>
    </row>
    <row r="440" customFormat="false" ht="15" hidden="false" customHeight="false" outlineLevel="0" collapsed="false">
      <c r="B440" s="2" t="n">
        <v>45954</v>
      </c>
      <c r="C440" s="3" t="n">
        <f aca="false">MONTH(B440)</f>
        <v>10</v>
      </c>
      <c r="D440" s="0" t="n">
        <v>20220013839</v>
      </c>
      <c r="E440" s="0" t="s">
        <v>79</v>
      </c>
      <c r="F440" s="0" t="s">
        <v>82</v>
      </c>
      <c r="G440" s="0" t="s">
        <v>81</v>
      </c>
      <c r="H440" s="0" t="s">
        <v>23</v>
      </c>
      <c r="I440" s="0" t="str">
        <f aca="false">VLOOKUP(H440,'rozdělení obchodníků'!B:D,3, )</f>
        <v>Čechy</v>
      </c>
      <c r="J440" s="4" t="n">
        <v>100000</v>
      </c>
    </row>
    <row r="441" customFormat="false" ht="15" hidden="false" customHeight="false" outlineLevel="0" collapsed="false">
      <c r="B441" s="2" t="n">
        <v>45955</v>
      </c>
      <c r="C441" s="3" t="n">
        <f aca="false">MONTH(B441)</f>
        <v>10</v>
      </c>
      <c r="D441" s="0" t="n">
        <v>20220013842</v>
      </c>
      <c r="E441" s="0" t="s">
        <v>79</v>
      </c>
      <c r="F441" s="0" t="s">
        <v>80</v>
      </c>
      <c r="G441" s="0" t="s">
        <v>81</v>
      </c>
      <c r="H441" s="0" t="s">
        <v>29</v>
      </c>
      <c r="I441" s="0" t="str">
        <f aca="false">VLOOKUP(H441,'rozdělení obchodníků'!B:D,3, )</f>
        <v>Čechy</v>
      </c>
      <c r="J441" s="4" t="n">
        <v>500000</v>
      </c>
    </row>
    <row r="442" customFormat="false" ht="15" hidden="false" customHeight="false" outlineLevel="0" collapsed="false">
      <c r="B442" s="2" t="n">
        <v>45955</v>
      </c>
      <c r="C442" s="3" t="n">
        <f aca="false">MONTH(B442)</f>
        <v>10</v>
      </c>
      <c r="D442" s="0" t="n">
        <v>20220013845</v>
      </c>
      <c r="E442" s="0" t="s">
        <v>79</v>
      </c>
      <c r="F442" s="0" t="s">
        <v>80</v>
      </c>
      <c r="G442" s="0" t="s">
        <v>81</v>
      </c>
      <c r="H442" s="0" t="s">
        <v>29</v>
      </c>
      <c r="I442" s="0" t="str">
        <f aca="false">VLOOKUP(H442,'rozdělení obchodníků'!B:D,3, )</f>
        <v>Čechy</v>
      </c>
      <c r="J442" s="4" t="n">
        <v>750000</v>
      </c>
    </row>
    <row r="443" customFormat="false" ht="15" hidden="false" customHeight="false" outlineLevel="0" collapsed="false">
      <c r="B443" s="2" t="n">
        <v>45955</v>
      </c>
      <c r="C443" s="3" t="n">
        <f aca="false">MONTH(B443)</f>
        <v>10</v>
      </c>
      <c r="D443" s="0" t="n">
        <v>20220013848</v>
      </c>
      <c r="E443" s="0" t="s">
        <v>79</v>
      </c>
      <c r="F443" s="0" t="s">
        <v>82</v>
      </c>
      <c r="G443" s="0" t="s">
        <v>81</v>
      </c>
      <c r="H443" s="0" t="s">
        <v>29</v>
      </c>
      <c r="I443" s="0" t="str">
        <f aca="false">VLOOKUP(H443,'rozdělení obchodníků'!B:D,3, )</f>
        <v>Čechy</v>
      </c>
      <c r="J443" s="4" t="n">
        <v>100000</v>
      </c>
    </row>
    <row r="444" customFormat="false" ht="15" hidden="false" customHeight="false" outlineLevel="0" collapsed="false">
      <c r="B444" s="2" t="n">
        <v>45955</v>
      </c>
      <c r="C444" s="3" t="n">
        <f aca="false">MONTH(B444)</f>
        <v>10</v>
      </c>
      <c r="D444" s="0" t="n">
        <v>20220013851</v>
      </c>
      <c r="E444" s="0" t="s">
        <v>79</v>
      </c>
      <c r="F444" s="0" t="s">
        <v>80</v>
      </c>
      <c r="G444" s="0" t="s">
        <v>81</v>
      </c>
      <c r="H444" s="0" t="s">
        <v>23</v>
      </c>
      <c r="I444" s="0" t="str">
        <f aca="false">VLOOKUP(H444,'rozdělení obchodníků'!B:D,3, )</f>
        <v>Čechy</v>
      </c>
      <c r="J444" s="4" t="n">
        <v>100000</v>
      </c>
    </row>
    <row r="445" customFormat="false" ht="15" hidden="false" customHeight="false" outlineLevel="0" collapsed="false">
      <c r="B445" s="2" t="n">
        <v>45955</v>
      </c>
      <c r="C445" s="3" t="n">
        <f aca="false">MONTH(B445)</f>
        <v>10</v>
      </c>
      <c r="D445" s="0" t="n">
        <v>20220013854</v>
      </c>
      <c r="E445" s="0" t="s">
        <v>79</v>
      </c>
      <c r="F445" s="0" t="s">
        <v>82</v>
      </c>
      <c r="G445" s="0" t="s">
        <v>81</v>
      </c>
      <c r="H445" s="0" t="s">
        <v>31</v>
      </c>
      <c r="I445" s="0" t="str">
        <f aca="false">VLOOKUP(H445,'rozdělení obchodníků'!B:D,3, )</f>
        <v>Morava</v>
      </c>
      <c r="J445" s="4" t="n">
        <v>100000</v>
      </c>
    </row>
    <row r="446" customFormat="false" ht="15" hidden="false" customHeight="false" outlineLevel="0" collapsed="false">
      <c r="B446" s="2" t="n">
        <v>45955</v>
      </c>
      <c r="C446" s="3" t="n">
        <f aca="false">MONTH(B446)</f>
        <v>10</v>
      </c>
      <c r="D446" s="0" t="n">
        <v>20220013857</v>
      </c>
      <c r="E446" s="0" t="s">
        <v>79</v>
      </c>
      <c r="F446" s="0" t="s">
        <v>82</v>
      </c>
      <c r="G446" s="0" t="s">
        <v>81</v>
      </c>
      <c r="H446" s="0" t="s">
        <v>59</v>
      </c>
      <c r="I446" s="0" t="str">
        <f aca="false">VLOOKUP(H446,'rozdělení obchodníků'!B:D,3, )</f>
        <v>Čechy</v>
      </c>
      <c r="J446" s="4" t="n">
        <v>100000</v>
      </c>
    </row>
    <row r="447" customFormat="false" ht="15" hidden="false" customHeight="false" outlineLevel="0" collapsed="false">
      <c r="B447" s="2" t="n">
        <v>45955</v>
      </c>
      <c r="C447" s="3" t="n">
        <f aca="false">MONTH(B447)</f>
        <v>10</v>
      </c>
      <c r="D447" s="0" t="n">
        <v>20220013860</v>
      </c>
      <c r="E447" s="0" t="s">
        <v>79</v>
      </c>
      <c r="F447" s="0" t="s">
        <v>82</v>
      </c>
      <c r="G447" s="0" t="s">
        <v>81</v>
      </c>
      <c r="H447" s="0" t="s">
        <v>59</v>
      </c>
      <c r="I447" s="0" t="str">
        <f aca="false">VLOOKUP(H447,'rozdělení obchodníků'!B:D,3, )</f>
        <v>Čechy</v>
      </c>
      <c r="J447" s="4" t="n">
        <v>600000</v>
      </c>
    </row>
    <row r="448" customFormat="false" ht="15" hidden="false" customHeight="false" outlineLevel="0" collapsed="false">
      <c r="B448" s="2" t="n">
        <v>45955</v>
      </c>
      <c r="C448" s="3" t="n">
        <f aca="false">MONTH(B448)</f>
        <v>10</v>
      </c>
      <c r="D448" s="0" t="n">
        <v>20220013863</v>
      </c>
      <c r="E448" s="0" t="s">
        <v>79</v>
      </c>
      <c r="F448" s="0" t="s">
        <v>82</v>
      </c>
      <c r="G448" s="0" t="s">
        <v>81</v>
      </c>
      <c r="H448" s="0" t="s">
        <v>31</v>
      </c>
      <c r="I448" s="0" t="str">
        <f aca="false">VLOOKUP(H448,'rozdělení obchodníků'!B:D,3, )</f>
        <v>Morava</v>
      </c>
      <c r="J448" s="4" t="n">
        <v>100000</v>
      </c>
    </row>
    <row r="449" customFormat="false" ht="15" hidden="false" customHeight="false" outlineLevel="0" collapsed="false">
      <c r="B449" s="2" t="n">
        <v>45955</v>
      </c>
      <c r="C449" s="3" t="n">
        <f aca="false">MONTH(B449)</f>
        <v>10</v>
      </c>
      <c r="D449" s="0" t="n">
        <v>20220013866</v>
      </c>
      <c r="E449" s="0" t="s">
        <v>79</v>
      </c>
      <c r="F449" s="0" t="s">
        <v>82</v>
      </c>
      <c r="G449" s="0" t="s">
        <v>81</v>
      </c>
      <c r="H449" s="0" t="s">
        <v>31</v>
      </c>
      <c r="I449" s="0" t="str">
        <f aca="false">VLOOKUP(H449,'rozdělení obchodníků'!B:D,3, )</f>
        <v>Morava</v>
      </c>
      <c r="J449" s="4" t="n">
        <v>100000</v>
      </c>
    </row>
    <row r="450" customFormat="false" ht="15" hidden="false" customHeight="false" outlineLevel="0" collapsed="false">
      <c r="B450" s="2" t="n">
        <v>45956</v>
      </c>
      <c r="C450" s="3" t="n">
        <f aca="false">MONTH(B450)</f>
        <v>10</v>
      </c>
      <c r="D450" s="0" t="n">
        <v>20220013869</v>
      </c>
      <c r="E450" s="0" t="s">
        <v>79</v>
      </c>
      <c r="F450" s="0" t="s">
        <v>80</v>
      </c>
      <c r="G450" s="0" t="s">
        <v>81</v>
      </c>
      <c r="H450" s="0" t="s">
        <v>12</v>
      </c>
      <c r="I450" s="0" t="str">
        <f aca="false">VLOOKUP(H450,'rozdělení obchodníků'!B:D,3, )</f>
        <v>Morava</v>
      </c>
      <c r="J450" s="4" t="n">
        <v>350000</v>
      </c>
    </row>
    <row r="451" customFormat="false" ht="15" hidden="false" customHeight="false" outlineLevel="0" collapsed="false">
      <c r="B451" s="2" t="n">
        <v>45956</v>
      </c>
      <c r="C451" s="3" t="n">
        <f aca="false">MONTH(B451)</f>
        <v>10</v>
      </c>
      <c r="D451" s="0" t="n">
        <v>20220013872</v>
      </c>
      <c r="E451" s="0" t="s">
        <v>79</v>
      </c>
      <c r="F451" s="0" t="s">
        <v>80</v>
      </c>
      <c r="G451" s="0" t="s">
        <v>81</v>
      </c>
      <c r="H451" s="0" t="s">
        <v>12</v>
      </c>
      <c r="I451" s="0" t="str">
        <f aca="false">VLOOKUP(H451,'rozdělení obchodníků'!B:D,3, )</f>
        <v>Morava</v>
      </c>
      <c r="J451" s="4" t="n">
        <v>1250000</v>
      </c>
    </row>
    <row r="452" customFormat="false" ht="15" hidden="false" customHeight="false" outlineLevel="0" collapsed="false">
      <c r="B452" s="2" t="n">
        <v>45956</v>
      </c>
      <c r="C452" s="3" t="n">
        <f aca="false">MONTH(B452)</f>
        <v>10</v>
      </c>
      <c r="D452" s="0" t="n">
        <v>20220013875</v>
      </c>
      <c r="E452" s="0" t="s">
        <v>79</v>
      </c>
      <c r="F452" s="0" t="s">
        <v>80</v>
      </c>
      <c r="G452" s="0" t="s">
        <v>81</v>
      </c>
      <c r="H452" s="0" t="s">
        <v>12</v>
      </c>
      <c r="I452" s="0" t="str">
        <f aca="false">VLOOKUP(H452,'rozdělení obchodníků'!B:D,3, )</f>
        <v>Morava</v>
      </c>
      <c r="J452" s="4" t="n">
        <v>100000</v>
      </c>
    </row>
    <row r="453" customFormat="false" ht="15" hidden="false" customHeight="false" outlineLevel="0" collapsed="false">
      <c r="B453" s="2" t="n">
        <v>45956</v>
      </c>
      <c r="C453" s="3" t="n">
        <f aca="false">MONTH(B453)</f>
        <v>10</v>
      </c>
      <c r="D453" s="0" t="n">
        <v>20220013878</v>
      </c>
      <c r="E453" s="0" t="s">
        <v>79</v>
      </c>
      <c r="F453" s="0" t="s">
        <v>80</v>
      </c>
      <c r="G453" s="0" t="s">
        <v>81</v>
      </c>
      <c r="H453" s="0" t="s">
        <v>25</v>
      </c>
      <c r="I453" s="0" t="str">
        <f aca="false">VLOOKUP(H453,'rozdělení obchodníků'!B:D,3, )</f>
        <v>Praha</v>
      </c>
      <c r="J453" s="4" t="n">
        <v>2000000</v>
      </c>
    </row>
    <row r="454" customFormat="false" ht="15" hidden="false" customHeight="false" outlineLevel="0" collapsed="false">
      <c r="B454" s="2" t="n">
        <v>45956</v>
      </c>
      <c r="C454" s="3" t="n">
        <f aca="false">MONTH(B454)</f>
        <v>10</v>
      </c>
      <c r="D454" s="0" t="n">
        <v>20220013881</v>
      </c>
      <c r="E454" s="0" t="s">
        <v>79</v>
      </c>
      <c r="F454" s="0" t="s">
        <v>80</v>
      </c>
      <c r="G454" s="0" t="s">
        <v>81</v>
      </c>
      <c r="H454" s="0" t="s">
        <v>51</v>
      </c>
      <c r="I454" s="0" t="str">
        <f aca="false">VLOOKUP(H454,'rozdělení obchodníků'!B:D,3, )</f>
        <v>Praha</v>
      </c>
      <c r="J454" s="4" t="n">
        <v>1100000</v>
      </c>
    </row>
    <row r="455" customFormat="false" ht="15" hidden="false" customHeight="false" outlineLevel="0" collapsed="false">
      <c r="B455" s="2" t="n">
        <v>45956</v>
      </c>
      <c r="C455" s="3" t="n">
        <f aca="false">MONTH(B455)</f>
        <v>10</v>
      </c>
      <c r="D455" s="0" t="n">
        <v>20220013884</v>
      </c>
      <c r="E455" s="0" t="s">
        <v>79</v>
      </c>
      <c r="F455" s="0" t="s">
        <v>82</v>
      </c>
      <c r="G455" s="0" t="s">
        <v>81</v>
      </c>
      <c r="H455" s="0" t="s">
        <v>65</v>
      </c>
      <c r="I455" s="0" t="str">
        <f aca="false">VLOOKUP(H455,'rozdělení obchodníků'!B:D,3, )</f>
        <v>Praha</v>
      </c>
      <c r="J455" s="4" t="n">
        <v>300000</v>
      </c>
    </row>
    <row r="456" customFormat="false" ht="15" hidden="false" customHeight="false" outlineLevel="0" collapsed="false">
      <c r="B456" s="2" t="n">
        <v>45956</v>
      </c>
      <c r="C456" s="3" t="n">
        <f aca="false">MONTH(B456)</f>
        <v>10</v>
      </c>
      <c r="D456" s="0" t="n">
        <v>20220013887</v>
      </c>
      <c r="E456" s="0" t="s">
        <v>79</v>
      </c>
      <c r="F456" s="0" t="s">
        <v>80</v>
      </c>
      <c r="G456" s="0" t="s">
        <v>81</v>
      </c>
      <c r="H456" s="0" t="s">
        <v>51</v>
      </c>
      <c r="I456" s="0" t="str">
        <f aca="false">VLOOKUP(H456,'rozdělení obchodníků'!B:D,3, )</f>
        <v>Praha</v>
      </c>
      <c r="J456" s="4" t="n">
        <v>1000000</v>
      </c>
    </row>
    <row r="457" customFormat="false" ht="15" hidden="false" customHeight="false" outlineLevel="0" collapsed="false">
      <c r="B457" s="2" t="n">
        <v>45956</v>
      </c>
      <c r="C457" s="3" t="n">
        <f aca="false">MONTH(B457)</f>
        <v>10</v>
      </c>
      <c r="D457" s="0" t="n">
        <v>20220013890</v>
      </c>
      <c r="E457" s="0" t="s">
        <v>79</v>
      </c>
      <c r="F457" s="0" t="s">
        <v>80</v>
      </c>
      <c r="G457" s="0" t="s">
        <v>81</v>
      </c>
      <c r="H457" s="0" t="s">
        <v>23</v>
      </c>
      <c r="I457" s="0" t="str">
        <f aca="false">VLOOKUP(H457,'rozdělení obchodníků'!B:D,3, )</f>
        <v>Čechy</v>
      </c>
      <c r="J457" s="4" t="n">
        <v>750000</v>
      </c>
    </row>
    <row r="458" customFormat="false" ht="15" hidden="false" customHeight="false" outlineLevel="0" collapsed="false">
      <c r="B458" s="2" t="n">
        <v>45957</v>
      </c>
      <c r="C458" s="3" t="n">
        <f aca="false">MONTH(B458)</f>
        <v>10</v>
      </c>
      <c r="D458" s="0" t="n">
        <v>20220013893</v>
      </c>
      <c r="E458" s="0" t="s">
        <v>79</v>
      </c>
      <c r="F458" s="0" t="s">
        <v>82</v>
      </c>
      <c r="G458" s="0" t="s">
        <v>81</v>
      </c>
      <c r="H458" s="0" t="s">
        <v>15</v>
      </c>
      <c r="I458" s="0" t="str">
        <f aca="false">VLOOKUP(H458,'rozdělení obchodníků'!B:D,3, )</f>
        <v>Morava</v>
      </c>
      <c r="J458" s="4" t="n">
        <v>350000</v>
      </c>
    </row>
    <row r="459" customFormat="false" ht="15" hidden="false" customHeight="false" outlineLevel="0" collapsed="false">
      <c r="B459" s="2" t="n">
        <v>45957</v>
      </c>
      <c r="C459" s="3" t="n">
        <f aca="false">MONTH(B459)</f>
        <v>10</v>
      </c>
      <c r="D459" s="0" t="n">
        <v>20220013896</v>
      </c>
      <c r="E459" s="0" t="s">
        <v>79</v>
      </c>
      <c r="F459" s="0" t="s">
        <v>80</v>
      </c>
      <c r="G459" s="0" t="s">
        <v>81</v>
      </c>
      <c r="H459" s="0" t="s">
        <v>15</v>
      </c>
      <c r="I459" s="0" t="str">
        <f aca="false">VLOOKUP(H459,'rozdělení obchodníků'!B:D,3, )</f>
        <v>Morava</v>
      </c>
      <c r="J459" s="4" t="n">
        <v>100000</v>
      </c>
    </row>
    <row r="460" customFormat="false" ht="15" hidden="false" customHeight="false" outlineLevel="0" collapsed="false">
      <c r="B460" s="2" t="n">
        <v>45957</v>
      </c>
      <c r="C460" s="3" t="n">
        <f aca="false">MONTH(B460)</f>
        <v>10</v>
      </c>
      <c r="D460" s="0" t="n">
        <v>20220013899</v>
      </c>
      <c r="E460" s="0" t="s">
        <v>79</v>
      </c>
      <c r="F460" s="0" t="s">
        <v>80</v>
      </c>
      <c r="G460" s="0" t="s">
        <v>81</v>
      </c>
      <c r="H460" s="0" t="s">
        <v>15</v>
      </c>
      <c r="I460" s="0" t="str">
        <f aca="false">VLOOKUP(H460,'rozdělení obchodníků'!B:D,3, )</f>
        <v>Morava</v>
      </c>
      <c r="J460" s="4" t="n">
        <v>100000</v>
      </c>
    </row>
    <row r="461" customFormat="false" ht="15" hidden="false" customHeight="false" outlineLevel="0" collapsed="false">
      <c r="B461" s="2" t="n">
        <v>45957</v>
      </c>
      <c r="C461" s="3" t="n">
        <f aca="false">MONTH(B461)</f>
        <v>10</v>
      </c>
      <c r="D461" s="0" t="n">
        <v>20220013902</v>
      </c>
      <c r="E461" s="0" t="s">
        <v>79</v>
      </c>
      <c r="F461" s="0" t="s">
        <v>80</v>
      </c>
      <c r="G461" s="0" t="s">
        <v>81</v>
      </c>
      <c r="H461" s="0" t="s">
        <v>15</v>
      </c>
      <c r="I461" s="0" t="str">
        <f aca="false">VLOOKUP(H461,'rozdělení obchodníků'!B:D,3, )</f>
        <v>Morava</v>
      </c>
      <c r="J461" s="4" t="n">
        <v>100000</v>
      </c>
    </row>
    <row r="462" customFormat="false" ht="15" hidden="false" customHeight="false" outlineLevel="0" collapsed="false">
      <c r="B462" s="2" t="n">
        <v>45957</v>
      </c>
      <c r="C462" s="3" t="n">
        <f aca="false">MONTH(B462)</f>
        <v>10</v>
      </c>
      <c r="D462" s="0" t="n">
        <v>20220013905</v>
      </c>
      <c r="E462" s="0" t="s">
        <v>79</v>
      </c>
      <c r="F462" s="0" t="s">
        <v>82</v>
      </c>
      <c r="G462" s="0" t="s">
        <v>81</v>
      </c>
      <c r="H462" s="0" t="s">
        <v>47</v>
      </c>
      <c r="I462" s="0" t="str">
        <f aca="false">VLOOKUP(H462,'rozdělení obchodníků'!B:D,3, )</f>
        <v>Morava</v>
      </c>
      <c r="J462" s="4" t="n">
        <v>1000000</v>
      </c>
    </row>
    <row r="463" customFormat="false" ht="15" hidden="false" customHeight="false" outlineLevel="0" collapsed="false">
      <c r="B463" s="2" t="n">
        <v>45957</v>
      </c>
      <c r="C463" s="3" t="n">
        <f aca="false">MONTH(B463)</f>
        <v>10</v>
      </c>
      <c r="D463" s="0" t="n">
        <v>20220013908</v>
      </c>
      <c r="E463" s="0" t="s">
        <v>79</v>
      </c>
      <c r="F463" s="0" t="s">
        <v>80</v>
      </c>
      <c r="G463" s="0" t="s">
        <v>81</v>
      </c>
      <c r="H463" s="0" t="s">
        <v>15</v>
      </c>
      <c r="I463" s="0" t="str">
        <f aca="false">VLOOKUP(H463,'rozdělení obchodníků'!B:D,3, )</f>
        <v>Morava</v>
      </c>
      <c r="J463" s="4" t="n">
        <v>100000</v>
      </c>
    </row>
    <row r="464" customFormat="false" ht="15" hidden="false" customHeight="false" outlineLevel="0" collapsed="false">
      <c r="B464" s="2" t="n">
        <v>45957</v>
      </c>
      <c r="C464" s="3" t="n">
        <f aca="false">MONTH(B464)</f>
        <v>10</v>
      </c>
      <c r="D464" s="0" t="n">
        <v>20220013911</v>
      </c>
      <c r="E464" s="0" t="s">
        <v>79</v>
      </c>
      <c r="F464" s="0" t="s">
        <v>80</v>
      </c>
      <c r="G464" s="0" t="s">
        <v>81</v>
      </c>
      <c r="H464" s="0" t="s">
        <v>47</v>
      </c>
      <c r="I464" s="0" t="str">
        <f aca="false">VLOOKUP(H464,'rozdělení obchodníků'!B:D,3, )</f>
        <v>Morava</v>
      </c>
      <c r="J464" s="4" t="n">
        <v>750000</v>
      </c>
    </row>
    <row r="465" customFormat="false" ht="15" hidden="false" customHeight="false" outlineLevel="0" collapsed="false">
      <c r="B465" s="2" t="n">
        <v>45957</v>
      </c>
      <c r="C465" s="3" t="n">
        <f aca="false">MONTH(B465)</f>
        <v>10</v>
      </c>
      <c r="D465" s="0" t="n">
        <v>20220013914</v>
      </c>
      <c r="E465" s="0" t="s">
        <v>79</v>
      </c>
      <c r="F465" s="0" t="s">
        <v>80</v>
      </c>
      <c r="G465" s="0" t="s">
        <v>81</v>
      </c>
      <c r="H465" s="0" t="s">
        <v>65</v>
      </c>
      <c r="I465" s="0" t="str">
        <f aca="false">VLOOKUP(H465,'rozdělení obchodníků'!B:D,3, )</f>
        <v>Praha</v>
      </c>
      <c r="J465" s="4" t="n">
        <v>100000</v>
      </c>
    </row>
    <row r="466" customFormat="false" ht="15" hidden="false" customHeight="false" outlineLevel="0" collapsed="false">
      <c r="B466" s="2" t="n">
        <v>45957</v>
      </c>
      <c r="C466" s="3" t="n">
        <f aca="false">MONTH(B466)</f>
        <v>10</v>
      </c>
      <c r="D466" s="0" t="n">
        <v>20220013917</v>
      </c>
      <c r="E466" s="0" t="s">
        <v>79</v>
      </c>
      <c r="F466" s="0" t="s">
        <v>80</v>
      </c>
      <c r="G466" s="0" t="s">
        <v>81</v>
      </c>
      <c r="H466" s="0" t="s">
        <v>47</v>
      </c>
      <c r="I466" s="0" t="str">
        <f aca="false">VLOOKUP(H466,'rozdělení obchodníků'!B:D,3, )</f>
        <v>Morava</v>
      </c>
      <c r="J466" s="4" t="n">
        <v>500000</v>
      </c>
    </row>
    <row r="467" customFormat="false" ht="15" hidden="false" customHeight="false" outlineLevel="0" collapsed="false">
      <c r="B467" s="2" t="n">
        <v>45957</v>
      </c>
      <c r="C467" s="3" t="n">
        <f aca="false">MONTH(B467)</f>
        <v>10</v>
      </c>
      <c r="D467" s="0" t="n">
        <v>20220013920</v>
      </c>
      <c r="E467" s="0" t="s">
        <v>79</v>
      </c>
      <c r="F467" s="0" t="s">
        <v>82</v>
      </c>
      <c r="G467" s="0" t="s">
        <v>81</v>
      </c>
      <c r="H467" s="0" t="s">
        <v>23</v>
      </c>
      <c r="I467" s="0" t="str">
        <f aca="false">VLOOKUP(H467,'rozdělení obchodníků'!B:D,3, )</f>
        <v>Čechy</v>
      </c>
      <c r="J467" s="4" t="n">
        <v>100000</v>
      </c>
    </row>
    <row r="468" customFormat="false" ht="15" hidden="false" customHeight="false" outlineLevel="0" collapsed="false">
      <c r="B468" s="2" t="n">
        <v>45958</v>
      </c>
      <c r="C468" s="3" t="n">
        <f aca="false">MONTH(B468)</f>
        <v>10</v>
      </c>
      <c r="D468" s="0" t="n">
        <v>20220013923</v>
      </c>
      <c r="E468" s="0" t="s">
        <v>79</v>
      </c>
      <c r="F468" s="0" t="s">
        <v>80</v>
      </c>
      <c r="G468" s="0" t="s">
        <v>81</v>
      </c>
      <c r="H468" s="0" t="s">
        <v>10</v>
      </c>
      <c r="I468" s="0" t="str">
        <f aca="false">VLOOKUP(H468,'rozdělení obchodníků'!B:D,3, )</f>
        <v>Čechy</v>
      </c>
      <c r="J468" s="4" t="n">
        <v>300000</v>
      </c>
    </row>
    <row r="469" customFormat="false" ht="15" hidden="false" customHeight="false" outlineLevel="0" collapsed="false">
      <c r="B469" s="2" t="n">
        <v>45958</v>
      </c>
      <c r="C469" s="3" t="n">
        <f aca="false">MONTH(B469)</f>
        <v>10</v>
      </c>
      <c r="D469" s="0" t="n">
        <v>20220013926</v>
      </c>
      <c r="E469" s="0" t="s">
        <v>79</v>
      </c>
      <c r="F469" s="0" t="s">
        <v>80</v>
      </c>
      <c r="G469" s="0" t="s">
        <v>81</v>
      </c>
      <c r="H469" s="0" t="s">
        <v>37</v>
      </c>
      <c r="I469" s="0" t="str">
        <f aca="false">VLOOKUP(H469,'rozdělení obchodníků'!B:D,3, )</f>
        <v>Morava</v>
      </c>
      <c r="J469" s="4" t="n">
        <v>1200000</v>
      </c>
    </row>
    <row r="470" customFormat="false" ht="15" hidden="false" customHeight="false" outlineLevel="0" collapsed="false">
      <c r="B470" s="2" t="n">
        <v>45958</v>
      </c>
      <c r="C470" s="3" t="n">
        <f aca="false">MONTH(B470)</f>
        <v>10</v>
      </c>
      <c r="D470" s="0" t="n">
        <v>20220013929</v>
      </c>
      <c r="E470" s="0" t="s">
        <v>79</v>
      </c>
      <c r="F470" s="0" t="s">
        <v>82</v>
      </c>
      <c r="G470" s="0" t="s">
        <v>81</v>
      </c>
      <c r="H470" s="0" t="s">
        <v>10</v>
      </c>
      <c r="I470" s="0" t="str">
        <f aca="false">VLOOKUP(H470,'rozdělení obchodníků'!B:D,3, )</f>
        <v>Čechy</v>
      </c>
      <c r="J470" s="4" t="n">
        <v>300000</v>
      </c>
    </row>
    <row r="471" customFormat="false" ht="15" hidden="false" customHeight="false" outlineLevel="0" collapsed="false">
      <c r="B471" s="2" t="n">
        <v>45958</v>
      </c>
      <c r="C471" s="3" t="n">
        <f aca="false">MONTH(B471)</f>
        <v>10</v>
      </c>
      <c r="D471" s="0" t="n">
        <v>20220013932</v>
      </c>
      <c r="E471" s="0" t="s">
        <v>79</v>
      </c>
      <c r="F471" s="0" t="s">
        <v>80</v>
      </c>
      <c r="G471" s="0" t="s">
        <v>81</v>
      </c>
      <c r="H471" s="0" t="s">
        <v>37</v>
      </c>
      <c r="I471" s="0" t="str">
        <f aca="false">VLOOKUP(H471,'rozdělení obchodníků'!B:D,3, )</f>
        <v>Morava</v>
      </c>
      <c r="J471" s="4" t="n">
        <v>750000</v>
      </c>
    </row>
    <row r="472" customFormat="false" ht="15" hidden="false" customHeight="false" outlineLevel="0" collapsed="false">
      <c r="B472" s="2" t="n">
        <v>45958</v>
      </c>
      <c r="C472" s="3" t="n">
        <f aca="false">MONTH(B472)</f>
        <v>10</v>
      </c>
      <c r="D472" s="0" t="n">
        <v>20220013935</v>
      </c>
      <c r="E472" s="0" t="s">
        <v>79</v>
      </c>
      <c r="F472" s="0" t="s">
        <v>80</v>
      </c>
      <c r="G472" s="0" t="s">
        <v>81</v>
      </c>
      <c r="H472" s="0" t="s">
        <v>10</v>
      </c>
      <c r="I472" s="0" t="str">
        <f aca="false">VLOOKUP(H472,'rozdělení obchodníků'!B:D,3, )</f>
        <v>Čechy</v>
      </c>
      <c r="J472" s="4" t="n">
        <v>500000</v>
      </c>
    </row>
    <row r="473" customFormat="false" ht="15" hidden="false" customHeight="false" outlineLevel="0" collapsed="false">
      <c r="B473" s="2" t="n">
        <v>45958</v>
      </c>
      <c r="C473" s="3" t="n">
        <f aca="false">MONTH(B473)</f>
        <v>10</v>
      </c>
      <c r="D473" s="0" t="n">
        <v>20220013938</v>
      </c>
      <c r="E473" s="0" t="s">
        <v>79</v>
      </c>
      <c r="F473" s="0" t="s">
        <v>80</v>
      </c>
      <c r="G473" s="0" t="s">
        <v>81</v>
      </c>
      <c r="H473" s="0" t="s">
        <v>37</v>
      </c>
      <c r="I473" s="0" t="str">
        <f aca="false">VLOOKUP(H473,'rozdělení obchodníků'!B:D,3, )</f>
        <v>Morava</v>
      </c>
      <c r="J473" s="4" t="n">
        <v>1000000</v>
      </c>
    </row>
    <row r="474" customFormat="false" ht="15" hidden="false" customHeight="false" outlineLevel="0" collapsed="false">
      <c r="B474" s="2" t="n">
        <v>45958</v>
      </c>
      <c r="C474" s="3" t="n">
        <f aca="false">MONTH(B474)</f>
        <v>10</v>
      </c>
      <c r="D474" s="0" t="n">
        <v>20220013941</v>
      </c>
      <c r="E474" s="0" t="s">
        <v>79</v>
      </c>
      <c r="F474" s="0" t="s">
        <v>82</v>
      </c>
      <c r="G474" s="0" t="s">
        <v>81</v>
      </c>
      <c r="H474" s="0" t="s">
        <v>10</v>
      </c>
      <c r="I474" s="0" t="str">
        <f aca="false">VLOOKUP(H474,'rozdělení obchodníků'!B:D,3, )</f>
        <v>Čechy</v>
      </c>
      <c r="J474" s="4" t="n">
        <v>100000</v>
      </c>
    </row>
    <row r="475" customFormat="false" ht="15" hidden="false" customHeight="false" outlineLevel="0" collapsed="false">
      <c r="B475" s="2" t="n">
        <v>45958</v>
      </c>
      <c r="C475" s="3" t="n">
        <f aca="false">MONTH(B475)</f>
        <v>10</v>
      </c>
      <c r="D475" s="0" t="n">
        <v>20220013944</v>
      </c>
      <c r="E475" s="0" t="s">
        <v>79</v>
      </c>
      <c r="F475" s="0" t="s">
        <v>80</v>
      </c>
      <c r="G475" s="0" t="s">
        <v>81</v>
      </c>
      <c r="H475" s="0" t="s">
        <v>37</v>
      </c>
      <c r="I475" s="0" t="str">
        <f aca="false">VLOOKUP(H475,'rozdělení obchodníků'!B:D,3, )</f>
        <v>Morava</v>
      </c>
      <c r="J475" s="4" t="n">
        <v>750000</v>
      </c>
    </row>
    <row r="476" customFormat="false" ht="15" hidden="false" customHeight="false" outlineLevel="0" collapsed="false">
      <c r="B476" s="2" t="n">
        <v>45958</v>
      </c>
      <c r="C476" s="3" t="n">
        <f aca="false">MONTH(B476)</f>
        <v>10</v>
      </c>
      <c r="D476" s="0" t="n">
        <v>20220013947</v>
      </c>
      <c r="E476" s="0" t="s">
        <v>79</v>
      </c>
      <c r="F476" s="0" t="s">
        <v>80</v>
      </c>
      <c r="G476" s="0" t="s">
        <v>81</v>
      </c>
      <c r="H476" s="0" t="s">
        <v>47</v>
      </c>
      <c r="I476" s="0" t="str">
        <f aca="false">VLOOKUP(H476,'rozdělení obchodníků'!B:D,3, )</f>
        <v>Morava</v>
      </c>
      <c r="J476" s="4" t="n">
        <v>300000</v>
      </c>
    </row>
    <row r="477" customFormat="false" ht="15" hidden="false" customHeight="false" outlineLevel="0" collapsed="false">
      <c r="B477" s="2" t="n">
        <v>45958</v>
      </c>
      <c r="C477" s="3" t="n">
        <f aca="false">MONTH(B477)</f>
        <v>10</v>
      </c>
      <c r="D477" s="0" t="n">
        <v>20220013950</v>
      </c>
      <c r="E477" s="0" t="s">
        <v>79</v>
      </c>
      <c r="F477" s="0" t="s">
        <v>80</v>
      </c>
      <c r="G477" s="0" t="s">
        <v>81</v>
      </c>
      <c r="H477" s="0" t="s">
        <v>37</v>
      </c>
      <c r="I477" s="0" t="str">
        <f aca="false">VLOOKUP(H477,'rozdělení obchodníků'!B:D,3, )</f>
        <v>Morava</v>
      </c>
      <c r="J477" s="4" t="n">
        <v>100000</v>
      </c>
    </row>
    <row r="478" customFormat="false" ht="15" hidden="false" customHeight="false" outlineLevel="0" collapsed="false">
      <c r="B478" s="2" t="n">
        <v>45958</v>
      </c>
      <c r="C478" s="3" t="n">
        <f aca="false">MONTH(B478)</f>
        <v>10</v>
      </c>
      <c r="D478" s="0" t="n">
        <v>20220013953</v>
      </c>
      <c r="E478" s="0" t="s">
        <v>79</v>
      </c>
      <c r="F478" s="0" t="s">
        <v>82</v>
      </c>
      <c r="G478" s="0" t="s">
        <v>84</v>
      </c>
      <c r="H478" s="0" t="s">
        <v>10</v>
      </c>
      <c r="I478" s="0" t="str">
        <f aca="false">VLOOKUP(H478,'rozdělení obchodníků'!B:D,3, )</f>
        <v>Čechy</v>
      </c>
      <c r="J478" s="4" t="n">
        <v>100000</v>
      </c>
    </row>
    <row r="479" customFormat="false" ht="15" hidden="false" customHeight="false" outlineLevel="0" collapsed="false">
      <c r="B479" s="2" t="n">
        <v>45958</v>
      </c>
      <c r="C479" s="3" t="n">
        <f aca="false">MONTH(B479)</f>
        <v>10</v>
      </c>
      <c r="D479" s="0" t="n">
        <v>20220013956</v>
      </c>
      <c r="E479" s="0" t="s">
        <v>79</v>
      </c>
      <c r="F479" s="0" t="s">
        <v>80</v>
      </c>
      <c r="G479" s="0" t="s">
        <v>81</v>
      </c>
      <c r="H479" s="0" t="s">
        <v>37</v>
      </c>
      <c r="I479" s="0" t="str">
        <f aca="false">VLOOKUP(H479,'rozdělení obchodníků'!B:D,3, )</f>
        <v>Morava</v>
      </c>
      <c r="J479" s="4" t="n">
        <v>2000000</v>
      </c>
    </row>
    <row r="480" customFormat="false" ht="15" hidden="false" customHeight="false" outlineLevel="0" collapsed="false">
      <c r="B480" s="2" t="n">
        <v>45958</v>
      </c>
      <c r="C480" s="3" t="n">
        <f aca="false">MONTH(B480)</f>
        <v>10</v>
      </c>
      <c r="D480" s="0" t="n">
        <v>20220013959</v>
      </c>
      <c r="E480" s="0" t="s">
        <v>79</v>
      </c>
      <c r="F480" s="0" t="s">
        <v>80</v>
      </c>
      <c r="G480" s="0" t="s">
        <v>81</v>
      </c>
      <c r="H480" s="0" t="s">
        <v>47</v>
      </c>
      <c r="I480" s="0" t="str">
        <f aca="false">VLOOKUP(H480,'rozdělení obchodníků'!B:D,3, )</f>
        <v>Morava</v>
      </c>
      <c r="J480" s="4" t="n">
        <v>500000</v>
      </c>
    </row>
    <row r="481" customFormat="false" ht="15" hidden="false" customHeight="false" outlineLevel="0" collapsed="false">
      <c r="B481" s="2" t="n">
        <v>45958</v>
      </c>
      <c r="C481" s="3" t="n">
        <f aca="false">MONTH(B481)</f>
        <v>10</v>
      </c>
      <c r="D481" s="0" t="n">
        <v>20220013962</v>
      </c>
      <c r="E481" s="0" t="s">
        <v>79</v>
      </c>
      <c r="F481" s="0" t="s">
        <v>80</v>
      </c>
      <c r="G481" s="0" t="s">
        <v>81</v>
      </c>
      <c r="H481" s="0" t="s">
        <v>37</v>
      </c>
      <c r="I481" s="0" t="str">
        <f aca="false">VLOOKUP(H481,'rozdělení obchodníků'!B:D,3, )</f>
        <v>Morava</v>
      </c>
      <c r="J481" s="4" t="n">
        <v>100000</v>
      </c>
    </row>
    <row r="482" customFormat="false" ht="15" hidden="false" customHeight="false" outlineLevel="0" collapsed="false">
      <c r="B482" s="2" t="n">
        <v>45958</v>
      </c>
      <c r="C482" s="3" t="n">
        <f aca="false">MONTH(B482)</f>
        <v>10</v>
      </c>
      <c r="D482" s="0" t="n">
        <v>20220013965</v>
      </c>
      <c r="E482" s="0" t="s">
        <v>79</v>
      </c>
      <c r="F482" s="0" t="s">
        <v>82</v>
      </c>
      <c r="G482" s="0" t="s">
        <v>81</v>
      </c>
      <c r="H482" s="0" t="s">
        <v>47</v>
      </c>
      <c r="I482" s="0" t="str">
        <f aca="false">VLOOKUP(H482,'rozdělení obchodníků'!B:D,3, )</f>
        <v>Morava</v>
      </c>
      <c r="J482" s="4" t="n">
        <v>100000</v>
      </c>
    </row>
    <row r="483" customFormat="false" ht="15" hidden="false" customHeight="false" outlineLevel="0" collapsed="false">
      <c r="B483" s="2" t="n">
        <v>45958</v>
      </c>
      <c r="C483" s="3" t="n">
        <f aca="false">MONTH(B483)</f>
        <v>10</v>
      </c>
      <c r="D483" s="0" t="n">
        <v>20220013968</v>
      </c>
      <c r="E483" s="0" t="s">
        <v>79</v>
      </c>
      <c r="F483" s="0" t="s">
        <v>80</v>
      </c>
      <c r="G483" s="0" t="s">
        <v>81</v>
      </c>
      <c r="H483" s="0" t="s">
        <v>45</v>
      </c>
      <c r="I483" s="0" t="str">
        <f aca="false">VLOOKUP(H483,'rozdělení obchodníků'!B:D,3, )</f>
        <v>Čechy</v>
      </c>
      <c r="J483" s="4" t="n">
        <v>300000</v>
      </c>
    </row>
    <row r="484" customFormat="false" ht="15" hidden="false" customHeight="false" outlineLevel="0" collapsed="false">
      <c r="B484" s="2" t="n">
        <v>45958</v>
      </c>
      <c r="C484" s="3" t="n">
        <f aca="false">MONTH(B484)</f>
        <v>10</v>
      </c>
      <c r="D484" s="0" t="n">
        <v>20220013971</v>
      </c>
      <c r="E484" s="0" t="s">
        <v>79</v>
      </c>
      <c r="F484" s="0" t="s">
        <v>80</v>
      </c>
      <c r="G484" s="0" t="s">
        <v>81</v>
      </c>
      <c r="H484" s="0" t="s">
        <v>47</v>
      </c>
      <c r="I484" s="0" t="str">
        <f aca="false">VLOOKUP(H484,'rozdělení obchodníků'!B:D,3, )</f>
        <v>Morava</v>
      </c>
      <c r="J484" s="4" t="n">
        <v>750000</v>
      </c>
    </row>
    <row r="485" customFormat="false" ht="15" hidden="false" customHeight="false" outlineLevel="0" collapsed="false">
      <c r="B485" s="2" t="n">
        <v>45958</v>
      </c>
      <c r="C485" s="3" t="n">
        <f aca="false">MONTH(B485)</f>
        <v>10</v>
      </c>
      <c r="D485" s="0" t="n">
        <v>20220013974</v>
      </c>
      <c r="E485" s="0" t="s">
        <v>79</v>
      </c>
      <c r="F485" s="0" t="s">
        <v>80</v>
      </c>
      <c r="G485" s="0" t="s">
        <v>81</v>
      </c>
      <c r="H485" s="0" t="s">
        <v>37</v>
      </c>
      <c r="I485" s="0" t="str">
        <f aca="false">VLOOKUP(H485,'rozdělení obchodníků'!B:D,3, )</f>
        <v>Morava</v>
      </c>
      <c r="J485" s="4" t="n">
        <v>1000000</v>
      </c>
    </row>
    <row r="486" customFormat="false" ht="15" hidden="false" customHeight="false" outlineLevel="0" collapsed="false">
      <c r="B486" s="2" t="n">
        <v>45958</v>
      </c>
      <c r="C486" s="3" t="n">
        <f aca="false">MONTH(B486)</f>
        <v>10</v>
      </c>
      <c r="D486" s="0" t="n">
        <v>20220013977</v>
      </c>
      <c r="E486" s="0" t="s">
        <v>79</v>
      </c>
      <c r="F486" s="0" t="s">
        <v>82</v>
      </c>
      <c r="G486" s="0" t="s">
        <v>81</v>
      </c>
      <c r="H486" s="0" t="s">
        <v>65</v>
      </c>
      <c r="I486" s="0" t="str">
        <f aca="false">VLOOKUP(H486,'rozdělení obchodníků'!B:D,3, )</f>
        <v>Praha</v>
      </c>
      <c r="J486" s="4" t="n">
        <v>100000</v>
      </c>
    </row>
    <row r="487" customFormat="false" ht="15" hidden="false" customHeight="false" outlineLevel="0" collapsed="false">
      <c r="B487" s="2" t="n">
        <v>45958</v>
      </c>
      <c r="C487" s="3" t="n">
        <f aca="false">MONTH(B487)</f>
        <v>10</v>
      </c>
      <c r="D487" s="0" t="n">
        <v>20220013980</v>
      </c>
      <c r="E487" s="0" t="s">
        <v>79</v>
      </c>
      <c r="F487" s="0" t="s">
        <v>82</v>
      </c>
      <c r="G487" s="0" t="s">
        <v>81</v>
      </c>
      <c r="H487" s="0" t="s">
        <v>63</v>
      </c>
      <c r="I487" s="0" t="str">
        <f aca="false">VLOOKUP(H487,'rozdělení obchodníků'!B:D,3, )</f>
        <v>Praha</v>
      </c>
      <c r="J487" s="4" t="n">
        <v>1300000</v>
      </c>
    </row>
    <row r="488" customFormat="false" ht="15" hidden="false" customHeight="false" outlineLevel="0" collapsed="false">
      <c r="B488" s="2" t="n">
        <v>45958</v>
      </c>
      <c r="C488" s="3" t="n">
        <f aca="false">MONTH(B488)</f>
        <v>10</v>
      </c>
      <c r="D488" s="0" t="n">
        <v>20220013983</v>
      </c>
      <c r="E488" s="0" t="s">
        <v>79</v>
      </c>
      <c r="F488" s="0" t="s">
        <v>80</v>
      </c>
      <c r="G488" s="0" t="s">
        <v>81</v>
      </c>
      <c r="H488" s="0" t="s">
        <v>31</v>
      </c>
      <c r="I488" s="0" t="str">
        <f aca="false">VLOOKUP(H488,'rozdělení obchodníků'!B:D,3, )</f>
        <v>Morava</v>
      </c>
      <c r="J488" s="4" t="n">
        <v>100000</v>
      </c>
    </row>
    <row r="489" customFormat="false" ht="15" hidden="false" customHeight="false" outlineLevel="0" collapsed="false">
      <c r="B489" s="2" t="n">
        <v>45959</v>
      </c>
      <c r="C489" s="3" t="n">
        <f aca="false">MONTH(B489)</f>
        <v>10</v>
      </c>
      <c r="D489" s="0" t="n">
        <v>20220013986</v>
      </c>
      <c r="E489" s="0" t="s">
        <v>79</v>
      </c>
      <c r="F489" s="0" t="s">
        <v>82</v>
      </c>
      <c r="G489" s="0" t="s">
        <v>81</v>
      </c>
      <c r="H489" s="0" t="s">
        <v>31</v>
      </c>
      <c r="I489" s="0" t="str">
        <f aca="false">VLOOKUP(H489,'rozdělení obchodníků'!B:D,3, )</f>
        <v>Morava</v>
      </c>
      <c r="J489" s="4" t="n">
        <v>1000000</v>
      </c>
    </row>
    <row r="490" customFormat="false" ht="15" hidden="false" customHeight="false" outlineLevel="0" collapsed="false">
      <c r="B490" s="2" t="n">
        <v>45960</v>
      </c>
      <c r="C490" s="3" t="n">
        <f aca="false">MONTH(B490)</f>
        <v>10</v>
      </c>
      <c r="D490" s="0" t="n">
        <v>20220013989</v>
      </c>
      <c r="E490" s="0" t="s">
        <v>79</v>
      </c>
      <c r="F490" s="0" t="s">
        <v>82</v>
      </c>
      <c r="G490" s="0" t="s">
        <v>81</v>
      </c>
      <c r="H490" s="0" t="s">
        <v>43</v>
      </c>
      <c r="I490" s="0" t="str">
        <f aca="false">VLOOKUP(H490,'rozdělení obchodníků'!B:D,3, )</f>
        <v>Praha</v>
      </c>
      <c r="J490" s="4" t="n">
        <v>100000</v>
      </c>
    </row>
    <row r="491" customFormat="false" ht="15" hidden="false" customHeight="false" outlineLevel="0" collapsed="false">
      <c r="B491" s="2" t="n">
        <v>45960</v>
      </c>
      <c r="C491" s="3" t="n">
        <f aca="false">MONTH(B491)</f>
        <v>10</v>
      </c>
      <c r="D491" s="0" t="n">
        <v>20220013992</v>
      </c>
      <c r="E491" s="0" t="s">
        <v>79</v>
      </c>
      <c r="F491" s="0" t="s">
        <v>80</v>
      </c>
      <c r="G491" s="0" t="s">
        <v>81</v>
      </c>
      <c r="H491" s="0" t="s">
        <v>61</v>
      </c>
      <c r="I491" s="0" t="str">
        <f aca="false">VLOOKUP(H491,'rozdělení obchodníků'!B:D,3, )</f>
        <v>Morava</v>
      </c>
      <c r="J491" s="4" t="n">
        <v>100000</v>
      </c>
    </row>
    <row r="492" customFormat="false" ht="15" hidden="false" customHeight="false" outlineLevel="0" collapsed="false">
      <c r="B492" s="2" t="n">
        <v>45960</v>
      </c>
      <c r="C492" s="3" t="n">
        <f aca="false">MONTH(B492)</f>
        <v>10</v>
      </c>
      <c r="D492" s="0" t="n">
        <v>20220013995</v>
      </c>
      <c r="E492" s="0" t="s">
        <v>79</v>
      </c>
      <c r="F492" s="0" t="s">
        <v>80</v>
      </c>
      <c r="G492" s="0" t="s">
        <v>81</v>
      </c>
      <c r="H492" s="0" t="s">
        <v>51</v>
      </c>
      <c r="I492" s="0" t="str">
        <f aca="false">VLOOKUP(H492,'rozdělení obchodníků'!B:D,3, )</f>
        <v>Praha</v>
      </c>
      <c r="J492" s="4" t="n">
        <v>500000</v>
      </c>
    </row>
    <row r="493" customFormat="false" ht="15" hidden="false" customHeight="false" outlineLevel="0" collapsed="false">
      <c r="B493" s="2" t="n">
        <v>45960</v>
      </c>
      <c r="C493" s="3" t="n">
        <f aca="false">MONTH(B493)</f>
        <v>10</v>
      </c>
      <c r="D493" s="0" t="n">
        <v>20220013998</v>
      </c>
      <c r="E493" s="0" t="s">
        <v>79</v>
      </c>
      <c r="F493" s="0" t="s">
        <v>80</v>
      </c>
      <c r="G493" s="0" t="s">
        <v>81</v>
      </c>
      <c r="H493" s="0" t="s">
        <v>61</v>
      </c>
      <c r="I493" s="0" t="str">
        <f aca="false">VLOOKUP(H493,'rozdělení obchodníků'!B:D,3, )</f>
        <v>Morava</v>
      </c>
      <c r="J493" s="4" t="n">
        <v>1300000</v>
      </c>
    </row>
    <row r="494" customFormat="false" ht="15" hidden="false" customHeight="false" outlineLevel="0" collapsed="false">
      <c r="B494" s="2" t="n">
        <v>45960</v>
      </c>
      <c r="C494" s="3" t="n">
        <f aca="false">MONTH(B494)</f>
        <v>10</v>
      </c>
      <c r="D494" s="0" t="n">
        <v>20220014001</v>
      </c>
      <c r="E494" s="0" t="s">
        <v>79</v>
      </c>
      <c r="F494" s="0" t="s">
        <v>80</v>
      </c>
      <c r="G494" s="0" t="s">
        <v>81</v>
      </c>
      <c r="H494" s="0" t="s">
        <v>53</v>
      </c>
      <c r="I494" s="0" t="str">
        <f aca="false">VLOOKUP(H494,'rozdělení obchodníků'!B:D,3, )</f>
        <v>Praha</v>
      </c>
      <c r="J494" s="4" t="n">
        <v>300000</v>
      </c>
    </row>
    <row r="495" customFormat="false" ht="15" hidden="false" customHeight="false" outlineLevel="0" collapsed="false">
      <c r="B495" s="2" t="n">
        <v>45960</v>
      </c>
      <c r="C495" s="3" t="n">
        <f aca="false">MONTH(B495)</f>
        <v>10</v>
      </c>
      <c r="D495" s="0" t="n">
        <v>20220014004</v>
      </c>
      <c r="E495" s="0" t="s">
        <v>79</v>
      </c>
      <c r="F495" s="0" t="s">
        <v>80</v>
      </c>
      <c r="G495" s="0" t="s">
        <v>81</v>
      </c>
      <c r="H495" s="0" t="s">
        <v>61</v>
      </c>
      <c r="I495" s="0" t="str">
        <f aca="false">VLOOKUP(H495,'rozdělení obchodníků'!B:D,3, )</f>
        <v>Morava</v>
      </c>
      <c r="J495" s="4" t="n">
        <v>750000</v>
      </c>
    </row>
    <row r="496" customFormat="false" ht="15" hidden="false" customHeight="false" outlineLevel="0" collapsed="false">
      <c r="B496" s="2" t="n">
        <v>45960</v>
      </c>
      <c r="C496" s="3" t="n">
        <f aca="false">MONTH(B496)</f>
        <v>10</v>
      </c>
      <c r="D496" s="0" t="n">
        <v>20220014007</v>
      </c>
      <c r="E496" s="0" t="s">
        <v>79</v>
      </c>
      <c r="F496" s="0" t="s">
        <v>80</v>
      </c>
      <c r="G496" s="0" t="s">
        <v>81</v>
      </c>
      <c r="H496" s="0" t="s">
        <v>61</v>
      </c>
      <c r="I496" s="0" t="str">
        <f aca="false">VLOOKUP(H496,'rozdělení obchodníků'!B:D,3, )</f>
        <v>Morava</v>
      </c>
      <c r="J496" s="4" t="n">
        <v>100000</v>
      </c>
    </row>
    <row r="497" customFormat="false" ht="15" hidden="false" customHeight="false" outlineLevel="0" collapsed="false">
      <c r="B497" s="2" t="n">
        <v>45960</v>
      </c>
      <c r="C497" s="3" t="n">
        <f aca="false">MONTH(B497)</f>
        <v>10</v>
      </c>
      <c r="D497" s="0" t="n">
        <v>20220014010</v>
      </c>
      <c r="E497" s="0" t="s">
        <v>79</v>
      </c>
      <c r="F497" s="0" t="s">
        <v>80</v>
      </c>
      <c r="G497" s="0" t="s">
        <v>81</v>
      </c>
      <c r="H497" s="0" t="s">
        <v>61</v>
      </c>
      <c r="I497" s="0" t="str">
        <f aca="false">VLOOKUP(H497,'rozdělení obchodníků'!B:D,3, )</f>
        <v>Morava</v>
      </c>
      <c r="J497" s="4" t="n">
        <v>100000</v>
      </c>
    </row>
    <row r="498" customFormat="false" ht="15" hidden="false" customHeight="false" outlineLevel="0" collapsed="false">
      <c r="B498" s="2" t="n">
        <v>45960</v>
      </c>
      <c r="C498" s="3" t="n">
        <f aca="false">MONTH(B498)</f>
        <v>10</v>
      </c>
      <c r="D498" s="0" t="n">
        <v>20220014013</v>
      </c>
      <c r="E498" s="0" t="s">
        <v>79</v>
      </c>
      <c r="F498" s="0" t="s">
        <v>82</v>
      </c>
      <c r="G498" s="0" t="s">
        <v>81</v>
      </c>
      <c r="H498" s="0" t="s">
        <v>61</v>
      </c>
      <c r="I498" s="0" t="str">
        <f aca="false">VLOOKUP(H498,'rozdělení obchodníků'!B:D,3, )</f>
        <v>Morava</v>
      </c>
      <c r="J498" s="4" t="n">
        <v>300000</v>
      </c>
    </row>
    <row r="499" customFormat="false" ht="15" hidden="false" customHeight="false" outlineLevel="0" collapsed="false">
      <c r="B499" s="2" t="n">
        <v>45960</v>
      </c>
      <c r="C499" s="3" t="n">
        <f aca="false">MONTH(B499)</f>
        <v>10</v>
      </c>
      <c r="D499" s="0" t="n">
        <v>20220014016</v>
      </c>
      <c r="E499" s="0" t="s">
        <v>79</v>
      </c>
      <c r="F499" s="0" t="s">
        <v>80</v>
      </c>
      <c r="G499" s="0" t="s">
        <v>81</v>
      </c>
      <c r="H499" s="0" t="s">
        <v>61</v>
      </c>
      <c r="I499" s="0" t="str">
        <f aca="false">VLOOKUP(H499,'rozdělení obchodníků'!B:D,3, )</f>
        <v>Morava</v>
      </c>
      <c r="J499" s="4" t="n">
        <v>100000</v>
      </c>
    </row>
    <row r="500" customFormat="false" ht="15" hidden="false" customHeight="false" outlineLevel="0" collapsed="false">
      <c r="B500" s="2" t="n">
        <v>45960</v>
      </c>
      <c r="C500" s="3" t="n">
        <f aca="false">MONTH(B500)</f>
        <v>10</v>
      </c>
      <c r="D500" s="0" t="n">
        <v>20220014019</v>
      </c>
      <c r="E500" s="0" t="s">
        <v>79</v>
      </c>
      <c r="F500" s="0" t="s">
        <v>80</v>
      </c>
      <c r="G500" s="0" t="s">
        <v>81</v>
      </c>
      <c r="H500" s="0" t="s">
        <v>61</v>
      </c>
      <c r="I500" s="0" t="str">
        <f aca="false">VLOOKUP(H500,'rozdělení obchodníků'!B:D,3, )</f>
        <v>Morava</v>
      </c>
      <c r="J500" s="4" t="n">
        <v>1000000</v>
      </c>
    </row>
    <row r="501" customFormat="false" ht="15" hidden="false" customHeight="false" outlineLevel="0" collapsed="false">
      <c r="B501" s="2" t="n">
        <v>45960</v>
      </c>
      <c r="C501" s="3" t="n">
        <f aca="false">MONTH(B501)</f>
        <v>10</v>
      </c>
      <c r="D501" s="0" t="n">
        <v>20220014022</v>
      </c>
      <c r="E501" s="0" t="s">
        <v>79</v>
      </c>
      <c r="F501" s="0" t="s">
        <v>82</v>
      </c>
      <c r="G501" s="0" t="s">
        <v>81</v>
      </c>
      <c r="H501" s="0" t="s">
        <v>61</v>
      </c>
      <c r="I501" s="0" t="str">
        <f aca="false">VLOOKUP(H501,'rozdělení obchodníků'!B:D,3, )</f>
        <v>Morava</v>
      </c>
      <c r="J501" s="4" t="n">
        <v>100000</v>
      </c>
    </row>
    <row r="502" customFormat="false" ht="15" hidden="false" customHeight="false" outlineLevel="0" collapsed="false">
      <c r="B502" s="2" t="n">
        <v>45960</v>
      </c>
      <c r="C502" s="3" t="n">
        <f aca="false">MONTH(B502)</f>
        <v>10</v>
      </c>
      <c r="D502" s="0" t="n">
        <v>20220014025</v>
      </c>
      <c r="E502" s="0" t="s">
        <v>79</v>
      </c>
      <c r="F502" s="0" t="s">
        <v>82</v>
      </c>
      <c r="G502" s="0" t="s">
        <v>81</v>
      </c>
      <c r="H502" s="0" t="s">
        <v>61</v>
      </c>
      <c r="I502" s="0" t="str">
        <f aca="false">VLOOKUP(H502,'rozdělení obchodníků'!B:D,3, )</f>
        <v>Morava</v>
      </c>
      <c r="J502" s="4" t="n">
        <v>100000</v>
      </c>
    </row>
    <row r="503" customFormat="false" ht="15" hidden="false" customHeight="false" outlineLevel="0" collapsed="false">
      <c r="B503" s="2" t="n">
        <v>45960</v>
      </c>
      <c r="C503" s="3" t="n">
        <f aca="false">MONTH(B503)</f>
        <v>10</v>
      </c>
      <c r="D503" s="0" t="n">
        <v>20220014028</v>
      </c>
      <c r="E503" s="0" t="s">
        <v>79</v>
      </c>
      <c r="F503" s="0" t="s">
        <v>80</v>
      </c>
      <c r="G503" s="0" t="s">
        <v>81</v>
      </c>
      <c r="H503" s="0" t="s">
        <v>61</v>
      </c>
      <c r="I503" s="0" t="str">
        <f aca="false">VLOOKUP(H503,'rozdělení obchodníků'!B:D,3, )</f>
        <v>Morava</v>
      </c>
      <c r="J503" s="4" t="n">
        <v>2000000</v>
      </c>
    </row>
    <row r="504" customFormat="false" ht="15" hidden="false" customHeight="false" outlineLevel="0" collapsed="false">
      <c r="B504" s="2" t="n">
        <v>45960</v>
      </c>
      <c r="C504" s="3" t="n">
        <f aca="false">MONTH(B504)</f>
        <v>10</v>
      </c>
      <c r="D504" s="0" t="n">
        <v>20220014031</v>
      </c>
      <c r="E504" s="0" t="s">
        <v>79</v>
      </c>
      <c r="F504" s="0" t="s">
        <v>80</v>
      </c>
      <c r="G504" s="0" t="s">
        <v>81</v>
      </c>
      <c r="H504" s="0" t="s">
        <v>61</v>
      </c>
      <c r="I504" s="0" t="str">
        <f aca="false">VLOOKUP(H504,'rozdělení obchodníků'!B:D,3, )</f>
        <v>Morava</v>
      </c>
      <c r="J504" s="4" t="n">
        <v>2000000</v>
      </c>
    </row>
    <row r="505" customFormat="false" ht="15" hidden="false" customHeight="false" outlineLevel="0" collapsed="false">
      <c r="B505" s="2" t="n">
        <v>45960</v>
      </c>
      <c r="C505" s="3" t="n">
        <f aca="false">MONTH(B505)</f>
        <v>10</v>
      </c>
      <c r="D505" s="0" t="n">
        <v>20220014034</v>
      </c>
      <c r="E505" s="0" t="s">
        <v>79</v>
      </c>
      <c r="F505" s="0" t="s">
        <v>80</v>
      </c>
      <c r="G505" s="0" t="s">
        <v>81</v>
      </c>
      <c r="H505" s="0" t="s">
        <v>25</v>
      </c>
      <c r="I505" s="0" t="str">
        <f aca="false">VLOOKUP(H505,'rozdělení obchodníků'!B:D,3, )</f>
        <v>Praha</v>
      </c>
      <c r="J505" s="4" t="n">
        <v>300000</v>
      </c>
    </row>
    <row r="506" customFormat="false" ht="15" hidden="false" customHeight="false" outlineLevel="0" collapsed="false">
      <c r="B506" s="2" t="n">
        <v>45960</v>
      </c>
      <c r="C506" s="3" t="n">
        <f aca="false">MONTH(B506)</f>
        <v>10</v>
      </c>
      <c r="D506" s="0" t="n">
        <v>20220014037</v>
      </c>
      <c r="E506" s="0" t="s">
        <v>79</v>
      </c>
      <c r="F506" s="0" t="s">
        <v>80</v>
      </c>
      <c r="G506" s="0" t="s">
        <v>81</v>
      </c>
      <c r="H506" s="0" t="s">
        <v>25</v>
      </c>
      <c r="I506" s="0" t="str">
        <f aca="false">VLOOKUP(H506,'rozdělení obchodníků'!B:D,3, )</f>
        <v>Praha</v>
      </c>
      <c r="J506" s="4" t="n">
        <v>300000</v>
      </c>
    </row>
    <row r="507" customFormat="false" ht="15" hidden="false" customHeight="false" outlineLevel="0" collapsed="false">
      <c r="B507" s="2" t="n">
        <v>45960</v>
      </c>
      <c r="C507" s="3" t="n">
        <f aca="false">MONTH(B507)</f>
        <v>10</v>
      </c>
      <c r="D507" s="0" t="n">
        <v>20220014040</v>
      </c>
      <c r="E507" s="0" t="s">
        <v>79</v>
      </c>
      <c r="F507" s="0" t="s">
        <v>80</v>
      </c>
      <c r="G507" s="0" t="s">
        <v>81</v>
      </c>
      <c r="H507" s="0" t="s">
        <v>7</v>
      </c>
      <c r="I507" s="0" t="str">
        <f aca="false">VLOOKUP(H507,'rozdělení obchodníků'!B:D,3, )</f>
        <v>Praha</v>
      </c>
      <c r="J507" s="4" t="n">
        <v>1000000</v>
      </c>
    </row>
    <row r="508" customFormat="false" ht="15" hidden="false" customHeight="false" outlineLevel="0" collapsed="false">
      <c r="B508" s="2" t="n">
        <v>45963</v>
      </c>
      <c r="C508" s="3" t="n">
        <f aca="false">MONTH(B508)</f>
        <v>11</v>
      </c>
      <c r="D508" s="0" t="n">
        <v>20220014043</v>
      </c>
      <c r="E508" s="0" t="s">
        <v>79</v>
      </c>
      <c r="F508" s="0" t="s">
        <v>80</v>
      </c>
      <c r="G508" s="0" t="s">
        <v>81</v>
      </c>
      <c r="H508" s="0" t="s">
        <v>53</v>
      </c>
      <c r="I508" s="0" t="str">
        <f aca="false">VLOOKUP(H508,'rozdělení obchodníků'!B:D,3, )</f>
        <v>Praha</v>
      </c>
      <c r="J508" s="4" t="n">
        <v>450000</v>
      </c>
    </row>
    <row r="509" customFormat="false" ht="15" hidden="false" customHeight="false" outlineLevel="0" collapsed="false">
      <c r="B509" s="2" t="n">
        <v>45963</v>
      </c>
      <c r="C509" s="3" t="n">
        <f aca="false">MONTH(B509)</f>
        <v>11</v>
      </c>
      <c r="D509" s="0" t="n">
        <v>20220014046</v>
      </c>
      <c r="E509" s="0" t="s">
        <v>79</v>
      </c>
      <c r="F509" s="0" t="s">
        <v>80</v>
      </c>
      <c r="G509" s="0" t="s">
        <v>81</v>
      </c>
      <c r="H509" s="0" t="s">
        <v>47</v>
      </c>
      <c r="I509" s="0" t="str">
        <f aca="false">VLOOKUP(H509,'rozdělení obchodníků'!B:D,3, )</f>
        <v>Morava</v>
      </c>
      <c r="J509" s="4" t="n">
        <v>350000</v>
      </c>
    </row>
    <row r="510" customFormat="false" ht="15" hidden="false" customHeight="false" outlineLevel="0" collapsed="false">
      <c r="B510" s="2" t="n">
        <v>45963</v>
      </c>
      <c r="C510" s="3" t="n">
        <f aca="false">MONTH(B510)</f>
        <v>11</v>
      </c>
      <c r="D510" s="0" t="n">
        <v>20220014049</v>
      </c>
      <c r="E510" s="0" t="s">
        <v>79</v>
      </c>
      <c r="F510" s="0" t="s">
        <v>80</v>
      </c>
      <c r="G510" s="0" t="s">
        <v>81</v>
      </c>
      <c r="H510" s="0" t="s">
        <v>47</v>
      </c>
      <c r="I510" s="0" t="str">
        <f aca="false">VLOOKUP(H510,'rozdělení obchodníků'!B:D,3, )</f>
        <v>Morava</v>
      </c>
      <c r="J510" s="4" t="n">
        <v>350000</v>
      </c>
    </row>
    <row r="511" customFormat="false" ht="15" hidden="false" customHeight="false" outlineLevel="0" collapsed="false">
      <c r="B511" s="2" t="n">
        <v>45963</v>
      </c>
      <c r="C511" s="3" t="n">
        <f aca="false">MONTH(B511)</f>
        <v>11</v>
      </c>
      <c r="D511" s="0" t="n">
        <v>20220014052</v>
      </c>
      <c r="E511" s="0" t="s">
        <v>79</v>
      </c>
      <c r="F511" s="0" t="s">
        <v>80</v>
      </c>
      <c r="G511" s="0" t="s">
        <v>81</v>
      </c>
      <c r="H511" s="0" t="s">
        <v>47</v>
      </c>
      <c r="I511" s="0" t="str">
        <f aca="false">VLOOKUP(H511,'rozdělení obchodníků'!B:D,3, )</f>
        <v>Morava</v>
      </c>
      <c r="J511" s="4" t="n">
        <v>350000</v>
      </c>
    </row>
    <row r="512" customFormat="false" ht="15" hidden="false" customHeight="false" outlineLevel="0" collapsed="false">
      <c r="B512" s="2" t="n">
        <v>45963</v>
      </c>
      <c r="C512" s="3" t="n">
        <f aca="false">MONTH(B512)</f>
        <v>11</v>
      </c>
      <c r="D512" s="0" t="n">
        <v>20220014055</v>
      </c>
      <c r="E512" s="0" t="s">
        <v>79</v>
      </c>
      <c r="F512" s="0" t="s">
        <v>80</v>
      </c>
      <c r="G512" s="0" t="s">
        <v>84</v>
      </c>
      <c r="H512" s="0" t="s">
        <v>51</v>
      </c>
      <c r="I512" s="0" t="str">
        <f aca="false">VLOOKUP(H512,'rozdělení obchodníků'!B:D,3, )</f>
        <v>Praha</v>
      </c>
      <c r="J512" s="4" t="n">
        <v>100000</v>
      </c>
    </row>
    <row r="513" customFormat="false" ht="15" hidden="false" customHeight="false" outlineLevel="0" collapsed="false">
      <c r="B513" s="2" t="n">
        <v>45963</v>
      </c>
      <c r="C513" s="3" t="n">
        <f aca="false">MONTH(B513)</f>
        <v>11</v>
      </c>
      <c r="D513" s="0" t="n">
        <v>20220014058</v>
      </c>
      <c r="E513" s="0" t="s">
        <v>79</v>
      </c>
      <c r="F513" s="0" t="s">
        <v>80</v>
      </c>
      <c r="G513" s="0" t="s">
        <v>84</v>
      </c>
      <c r="H513" s="0" t="s">
        <v>51</v>
      </c>
      <c r="I513" s="0" t="str">
        <f aca="false">VLOOKUP(H513,'rozdělení obchodníků'!B:D,3, )</f>
        <v>Praha</v>
      </c>
      <c r="J513" s="4" t="n">
        <v>100000</v>
      </c>
    </row>
    <row r="514" customFormat="false" ht="15" hidden="false" customHeight="false" outlineLevel="0" collapsed="false">
      <c r="B514" s="2" t="n">
        <v>45963</v>
      </c>
      <c r="C514" s="3" t="n">
        <f aca="false">MONTH(B514)</f>
        <v>11</v>
      </c>
      <c r="D514" s="0" t="n">
        <v>20220014061</v>
      </c>
      <c r="E514" s="0" t="s">
        <v>79</v>
      </c>
      <c r="F514" s="0" t="s">
        <v>80</v>
      </c>
      <c r="G514" s="0" t="s">
        <v>84</v>
      </c>
      <c r="H514" s="0" t="s">
        <v>51</v>
      </c>
      <c r="I514" s="0" t="str">
        <f aca="false">VLOOKUP(H514,'rozdělení obchodníků'!B:D,3, )</f>
        <v>Praha</v>
      </c>
      <c r="J514" s="4" t="n">
        <v>100000</v>
      </c>
    </row>
    <row r="515" customFormat="false" ht="15" hidden="false" customHeight="false" outlineLevel="0" collapsed="false">
      <c r="B515" s="2" t="n">
        <v>45963</v>
      </c>
      <c r="C515" s="3" t="n">
        <f aca="false">MONTH(B515)</f>
        <v>11</v>
      </c>
      <c r="D515" s="0" t="n">
        <v>20220014064</v>
      </c>
      <c r="E515" s="0" t="s">
        <v>79</v>
      </c>
      <c r="F515" s="0" t="s">
        <v>82</v>
      </c>
      <c r="G515" s="0" t="s">
        <v>81</v>
      </c>
      <c r="H515" s="0" t="s">
        <v>47</v>
      </c>
      <c r="I515" s="0" t="str">
        <f aca="false">VLOOKUP(H515,'rozdělení obchodníků'!B:D,3, )</f>
        <v>Morava</v>
      </c>
      <c r="J515" s="4" t="n">
        <v>600000</v>
      </c>
    </row>
    <row r="516" customFormat="false" ht="15" hidden="false" customHeight="false" outlineLevel="0" collapsed="false">
      <c r="B516" s="2" t="n">
        <v>45963</v>
      </c>
      <c r="C516" s="3" t="n">
        <f aca="false">MONTH(B516)</f>
        <v>11</v>
      </c>
      <c r="D516" s="0" t="n">
        <v>20220014067</v>
      </c>
      <c r="E516" s="0" t="s">
        <v>79</v>
      </c>
      <c r="F516" s="0" t="s">
        <v>82</v>
      </c>
      <c r="G516" s="0" t="s">
        <v>81</v>
      </c>
      <c r="H516" s="0" t="s">
        <v>47</v>
      </c>
      <c r="I516" s="0" t="str">
        <f aca="false">VLOOKUP(H516,'rozdělení obchodníků'!B:D,3, )</f>
        <v>Morava</v>
      </c>
      <c r="J516" s="4" t="n">
        <v>600000</v>
      </c>
    </row>
    <row r="517" customFormat="false" ht="15" hidden="false" customHeight="false" outlineLevel="0" collapsed="false">
      <c r="B517" s="2" t="n">
        <v>45963</v>
      </c>
      <c r="C517" s="3" t="n">
        <f aca="false">MONTH(B517)</f>
        <v>11</v>
      </c>
      <c r="D517" s="0" t="n">
        <v>20220014070</v>
      </c>
      <c r="E517" s="0" t="s">
        <v>79</v>
      </c>
      <c r="F517" s="0" t="s">
        <v>82</v>
      </c>
      <c r="G517" s="0" t="s">
        <v>81</v>
      </c>
      <c r="H517" s="0" t="s">
        <v>47</v>
      </c>
      <c r="I517" s="0" t="str">
        <f aca="false">VLOOKUP(H517,'rozdělení obchodníků'!B:D,3, )</f>
        <v>Morava</v>
      </c>
      <c r="J517" s="4" t="n">
        <v>600000</v>
      </c>
    </row>
    <row r="518" customFormat="false" ht="15" hidden="false" customHeight="false" outlineLevel="0" collapsed="false">
      <c r="B518" s="2" t="n">
        <v>45964</v>
      </c>
      <c r="C518" s="3" t="n">
        <f aca="false">MONTH(B518)</f>
        <v>11</v>
      </c>
      <c r="D518" s="0" t="n">
        <v>20220014073</v>
      </c>
      <c r="E518" s="0" t="s">
        <v>79</v>
      </c>
      <c r="F518" s="0" t="s">
        <v>83</v>
      </c>
      <c r="G518" s="0" t="s">
        <v>81</v>
      </c>
      <c r="H518" s="0" t="s">
        <v>10</v>
      </c>
      <c r="I518" s="0" t="str">
        <f aca="false">VLOOKUP(H518,'rozdělení obchodníků'!B:D,3, )</f>
        <v>Čechy</v>
      </c>
      <c r="J518" s="4" t="n">
        <v>1000000</v>
      </c>
    </row>
    <row r="519" customFormat="false" ht="15" hidden="false" customHeight="false" outlineLevel="0" collapsed="false">
      <c r="B519" s="2" t="n">
        <v>45964</v>
      </c>
      <c r="C519" s="3" t="n">
        <f aca="false">MONTH(B519)</f>
        <v>11</v>
      </c>
      <c r="D519" s="0" t="n">
        <v>20220014076</v>
      </c>
      <c r="E519" s="0" t="s">
        <v>79</v>
      </c>
      <c r="F519" s="0" t="s">
        <v>83</v>
      </c>
      <c r="G519" s="0" t="s">
        <v>81</v>
      </c>
      <c r="H519" s="0" t="s">
        <v>10</v>
      </c>
      <c r="I519" s="0" t="str">
        <f aca="false">VLOOKUP(H519,'rozdělení obchodníků'!B:D,3, )</f>
        <v>Čechy</v>
      </c>
      <c r="J519" s="4" t="n">
        <v>100000</v>
      </c>
    </row>
    <row r="520" customFormat="false" ht="15" hidden="false" customHeight="false" outlineLevel="0" collapsed="false">
      <c r="B520" s="2" t="n">
        <v>45964</v>
      </c>
      <c r="C520" s="3" t="n">
        <f aca="false">MONTH(B520)</f>
        <v>11</v>
      </c>
      <c r="D520" s="0" t="n">
        <v>20220014079</v>
      </c>
      <c r="E520" s="0" t="s">
        <v>79</v>
      </c>
      <c r="F520" s="0" t="s">
        <v>83</v>
      </c>
      <c r="G520" s="0" t="s">
        <v>81</v>
      </c>
      <c r="H520" s="0" t="s">
        <v>10</v>
      </c>
      <c r="I520" s="0" t="str">
        <f aca="false">VLOOKUP(H520,'rozdělení obchodníků'!B:D,3, )</f>
        <v>Čechy</v>
      </c>
      <c r="J520" s="4" t="n">
        <v>1000000</v>
      </c>
    </row>
  </sheetData>
  <autoFilter ref="G1:G520"/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6171875" defaultRowHeight="15" customHeight="true" zeroHeight="false" outlineLevelRow="0" outlineLevelCol="0"/>
  <cols>
    <col collapsed="false" customWidth="true" hidden="false" outlineLevel="0" max="4" min="4" style="0" width="18.43"/>
    <col collapsed="false" customWidth="true" hidden="false" outlineLevel="0" max="7" min="7" style="0" width="14.85"/>
  </cols>
  <sheetData>
    <row r="3" customFormat="false" ht="15" hidden="false" customHeight="false" outlineLevel="0" collapsed="false">
      <c r="B3" s="0" t="s">
        <v>85</v>
      </c>
    </row>
    <row r="5" customFormat="false" ht="15" hidden="false" customHeight="false" outlineLevel="0" collapsed="false">
      <c r="B5" s="8" t="s">
        <v>72</v>
      </c>
      <c r="C5" s="8" t="s">
        <v>2</v>
      </c>
      <c r="D5" s="8" t="s">
        <v>86</v>
      </c>
    </row>
    <row r="6" customFormat="false" ht="15" hidden="false" customHeight="false" outlineLevel="0" collapsed="false">
      <c r="B6" s="9" t="n">
        <v>45931</v>
      </c>
      <c r="C6" s="10" t="s">
        <v>9</v>
      </c>
      <c r="D6" s="11" t="n">
        <v>100000000</v>
      </c>
      <c r="G6" s="12"/>
    </row>
    <row r="7" customFormat="false" ht="15" hidden="false" customHeight="false" outlineLevel="0" collapsed="false">
      <c r="B7" s="9" t="n">
        <v>45931</v>
      </c>
      <c r="C7" s="10" t="s">
        <v>14</v>
      </c>
      <c r="D7" s="11" t="n">
        <v>80000000</v>
      </c>
      <c r="G7" s="12"/>
    </row>
    <row r="8" customFormat="false" ht="15" hidden="false" customHeight="false" outlineLevel="0" collapsed="false">
      <c r="B8" s="9" t="n">
        <v>45931</v>
      </c>
      <c r="C8" s="10" t="s">
        <v>6</v>
      </c>
      <c r="D8" s="11" t="n">
        <v>75000000</v>
      </c>
      <c r="G8" s="12"/>
    </row>
    <row r="9" customFormat="false" ht="15" hidden="false" customHeight="false" outlineLevel="0" collapsed="false">
      <c r="B9" s="9" t="n">
        <v>45962</v>
      </c>
      <c r="C9" s="10" t="s">
        <v>9</v>
      </c>
      <c r="D9" s="11" t="n">
        <v>120000000</v>
      </c>
    </row>
    <row r="10" customFormat="false" ht="15" hidden="false" customHeight="false" outlineLevel="0" collapsed="false">
      <c r="B10" s="9" t="n">
        <v>45962</v>
      </c>
      <c r="C10" s="10" t="s">
        <v>14</v>
      </c>
      <c r="D10" s="11" t="n">
        <v>100000000</v>
      </c>
    </row>
    <row r="11" customFormat="false" ht="15" hidden="false" customHeight="false" outlineLevel="0" collapsed="false">
      <c r="B11" s="9" t="n">
        <v>45962</v>
      </c>
      <c r="C11" s="10" t="s">
        <v>6</v>
      </c>
      <c r="D11" s="11" t="n">
        <v>95000000</v>
      </c>
    </row>
    <row r="12" customFormat="false" ht="15" hidden="false" customHeight="false" outlineLevel="0" collapsed="false">
      <c r="B12" s="9" t="n">
        <v>45992</v>
      </c>
      <c r="C12" s="10" t="s">
        <v>9</v>
      </c>
      <c r="D12" s="11" t="n">
        <v>80000000</v>
      </c>
    </row>
    <row r="13" customFormat="false" ht="15" hidden="false" customHeight="false" outlineLevel="0" collapsed="false">
      <c r="B13" s="9" t="n">
        <v>45992</v>
      </c>
      <c r="C13" s="10" t="s">
        <v>14</v>
      </c>
      <c r="D13" s="11" t="n">
        <v>60000000</v>
      </c>
    </row>
    <row r="14" customFormat="false" ht="15" hidden="false" customHeight="false" outlineLevel="0" collapsed="false">
      <c r="B14" s="9" t="n">
        <v>45992</v>
      </c>
      <c r="C14" s="10" t="s">
        <v>6</v>
      </c>
      <c r="D14" s="11" t="n">
        <v>50000000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4" min="4" style="0" width="25.57"/>
    <col collapsed="false" customWidth="true" hidden="false" outlineLevel="0" max="5" min="5" style="0" width="16.71"/>
    <col collapsed="false" customWidth="true" hidden="false" outlineLevel="0" max="9" min="9" style="13" width="19.36"/>
    <col collapsed="false" customWidth="true" hidden="false" outlineLevel="0" max="10" min="10" style="13" width="19.24"/>
    <col collapsed="false" customWidth="false" hidden="false" outlineLevel="0" max="11" min="11" style="14" width="10.49"/>
  </cols>
  <sheetData>
    <row r="2" customFormat="false" ht="13.8" hidden="false" customHeight="false" outlineLevel="0" collapsed="false">
      <c r="B2" s="15" t="s">
        <v>72</v>
      </c>
      <c r="C2" s="16" t="s">
        <v>87</v>
      </c>
      <c r="H2" s="15" t="s">
        <v>72</v>
      </c>
      <c r="I2" s="16" t="s">
        <v>87</v>
      </c>
    </row>
    <row r="3" customFormat="false" ht="13.8" hidden="false" customHeight="false" outlineLevel="0" collapsed="false">
      <c r="B3" s="15" t="s">
        <v>76</v>
      </c>
      <c r="C3" s="10" t="s">
        <v>81</v>
      </c>
      <c r="H3" s="15" t="s">
        <v>76</v>
      </c>
      <c r="I3" s="10" t="s">
        <v>81</v>
      </c>
    </row>
    <row r="4" customFormat="false" ht="13.8" hidden="false" customHeight="false" outlineLevel="0" collapsed="false">
      <c r="I4" s="0"/>
    </row>
    <row r="5" customFormat="false" ht="13.8" hidden="false" customHeight="false" outlineLevel="0" collapsed="false">
      <c r="B5" s="17" t="s">
        <v>77</v>
      </c>
      <c r="C5" s="18" t="s">
        <v>0</v>
      </c>
      <c r="D5" s="19" t="s">
        <v>88</v>
      </c>
      <c r="E5" s="0" t="s">
        <v>89</v>
      </c>
      <c r="F5" s="0" t="s">
        <v>90</v>
      </c>
      <c r="H5" s="17" t="s">
        <v>77</v>
      </c>
      <c r="I5" s="19" t="s">
        <v>88</v>
      </c>
      <c r="J5" s="13" t="s">
        <v>89</v>
      </c>
      <c r="K5" s="14" t="s">
        <v>90</v>
      </c>
    </row>
    <row r="6" customFormat="false" ht="13.8" hidden="false" customHeight="false" outlineLevel="0" collapsed="false">
      <c r="B6" s="20" t="s">
        <v>6</v>
      </c>
      <c r="C6" s="21" t="s">
        <v>29</v>
      </c>
      <c r="D6" s="22" t="n">
        <v>4700000</v>
      </c>
      <c r="E6" s="13" t="n">
        <v>7500000</v>
      </c>
      <c r="F6" s="14" t="n">
        <f aca="false">D6/E6</f>
        <v>0.626666666666667</v>
      </c>
      <c r="H6" s="23" t="s">
        <v>6</v>
      </c>
      <c r="I6" s="22" t="n">
        <v>61500000</v>
      </c>
      <c r="J6" s="13" t="n">
        <v>75000000</v>
      </c>
      <c r="K6" s="14" t="n">
        <f aca="false">I6/J6</f>
        <v>0.82</v>
      </c>
    </row>
    <row r="7" customFormat="false" ht="13.8" hidden="false" customHeight="false" outlineLevel="0" collapsed="false">
      <c r="B7" s="24"/>
      <c r="C7" s="25" t="s">
        <v>67</v>
      </c>
      <c r="D7" s="26" t="n">
        <v>5350000</v>
      </c>
      <c r="E7" s="13" t="n">
        <v>7500000</v>
      </c>
      <c r="F7" s="14" t="n">
        <f aca="false">D7/E7</f>
        <v>0.713333333333333</v>
      </c>
      <c r="H7" s="24" t="s">
        <v>14</v>
      </c>
      <c r="I7" s="26" t="n">
        <v>93000000</v>
      </c>
      <c r="J7" s="13" t="n">
        <v>80000000</v>
      </c>
      <c r="K7" s="14" t="n">
        <f aca="false">I7/J7</f>
        <v>1.1625</v>
      </c>
    </row>
    <row r="8" customFormat="false" ht="13.8" hidden="false" customHeight="false" outlineLevel="0" collapsed="false">
      <c r="B8" s="24"/>
      <c r="C8" s="25" t="s">
        <v>59</v>
      </c>
      <c r="D8" s="26" t="n">
        <v>2300000</v>
      </c>
      <c r="E8" s="13" t="n">
        <v>7500000</v>
      </c>
      <c r="F8" s="14" t="n">
        <f aca="false">D8/E8</f>
        <v>0.306666666666667</v>
      </c>
      <c r="H8" s="24" t="s">
        <v>9</v>
      </c>
      <c r="I8" s="27" t="n">
        <v>106600000</v>
      </c>
      <c r="J8" s="13" t="n">
        <v>100000000</v>
      </c>
      <c r="K8" s="14" t="n">
        <f aca="false">I8/J8</f>
        <v>1.066</v>
      </c>
    </row>
    <row r="9" customFormat="false" ht="13.8" hidden="false" customHeight="false" outlineLevel="0" collapsed="false">
      <c r="B9" s="24"/>
      <c r="C9" s="25" t="s">
        <v>45</v>
      </c>
      <c r="D9" s="26" t="n">
        <v>15700000</v>
      </c>
      <c r="E9" s="13" t="n">
        <v>7500000</v>
      </c>
      <c r="F9" s="14" t="n">
        <f aca="false">D9/E9</f>
        <v>2.09333333333333</v>
      </c>
      <c r="H9" s="28" t="s">
        <v>91</v>
      </c>
      <c r="I9" s="29" t="n">
        <v>261100000</v>
      </c>
      <c r="J9" s="13" t="n">
        <f aca="false">SUM(J6:J8)</f>
        <v>255000000</v>
      </c>
      <c r="K9" s="14" t="n">
        <f aca="false">I9/J9</f>
        <v>1.02392156862745</v>
      </c>
    </row>
    <row r="10" customFormat="false" ht="13.8" hidden="false" customHeight="false" outlineLevel="0" collapsed="false">
      <c r="B10" s="24"/>
      <c r="C10" s="25" t="s">
        <v>23</v>
      </c>
      <c r="D10" s="26" t="n">
        <v>12700000</v>
      </c>
      <c r="E10" s="13" t="n">
        <v>7500000</v>
      </c>
      <c r="F10" s="14" t="n">
        <f aca="false">D10/E10</f>
        <v>1.69333333333333</v>
      </c>
    </row>
    <row r="11" customFormat="false" ht="13.8" hidden="false" customHeight="false" outlineLevel="0" collapsed="false">
      <c r="B11" s="24"/>
      <c r="C11" s="25" t="s">
        <v>19</v>
      </c>
      <c r="D11" s="26" t="n">
        <v>6750000</v>
      </c>
      <c r="E11" s="13" t="n">
        <v>7500000</v>
      </c>
      <c r="F11" s="14" t="n">
        <f aca="false">D11/E11</f>
        <v>0.9</v>
      </c>
    </row>
    <row r="12" customFormat="false" ht="13.8" hidden="false" customHeight="false" outlineLevel="0" collapsed="false">
      <c r="B12" s="24"/>
      <c r="C12" s="25" t="s">
        <v>10</v>
      </c>
      <c r="D12" s="26" t="n">
        <v>9050000</v>
      </c>
      <c r="E12" s="13" t="n">
        <v>7500000</v>
      </c>
      <c r="F12" s="14" t="n">
        <f aca="false">D12/E12</f>
        <v>1.20666666666667</v>
      </c>
    </row>
    <row r="13" customFormat="false" ht="13.8" hidden="false" customHeight="false" outlineLevel="0" collapsed="false">
      <c r="B13" s="30"/>
      <c r="C13" s="31" t="s">
        <v>57</v>
      </c>
      <c r="D13" s="27" t="n">
        <v>4950000</v>
      </c>
      <c r="E13" s="13" t="n">
        <v>7500000</v>
      </c>
      <c r="F13" s="14" t="n">
        <f aca="false">D13/E13</f>
        <v>0.66</v>
      </c>
    </row>
    <row r="14" customFormat="false" ht="13.8" hidden="false" customHeight="false" outlineLevel="0" collapsed="false">
      <c r="B14" s="20" t="s">
        <v>14</v>
      </c>
      <c r="C14" s="21" t="s">
        <v>39</v>
      </c>
      <c r="D14" s="22" t="n">
        <v>950000</v>
      </c>
      <c r="E14" s="13" t="n">
        <v>8000000</v>
      </c>
      <c r="F14" s="14" t="n">
        <f aca="false">D14/E14</f>
        <v>0.11875</v>
      </c>
    </row>
    <row r="15" customFormat="false" ht="13.8" hidden="false" customHeight="false" outlineLevel="0" collapsed="false">
      <c r="B15" s="24"/>
      <c r="C15" s="25" t="s">
        <v>37</v>
      </c>
      <c r="D15" s="26" t="n">
        <v>30750000</v>
      </c>
      <c r="E15" s="13" t="n">
        <v>8000000</v>
      </c>
      <c r="F15" s="14" t="n">
        <f aca="false">D15/E15</f>
        <v>3.84375</v>
      </c>
    </row>
    <row r="16" customFormat="false" ht="13.8" hidden="false" customHeight="false" outlineLevel="0" collapsed="false">
      <c r="B16" s="24"/>
      <c r="C16" s="25" t="s">
        <v>61</v>
      </c>
      <c r="D16" s="26" t="n">
        <v>22600000</v>
      </c>
      <c r="E16" s="13" t="n">
        <v>8000000</v>
      </c>
      <c r="F16" s="14" t="n">
        <f aca="false">D16/E16</f>
        <v>2.825</v>
      </c>
    </row>
    <row r="17" customFormat="false" ht="13.8" hidden="false" customHeight="false" outlineLevel="0" collapsed="false">
      <c r="B17" s="24"/>
      <c r="C17" s="25" t="s">
        <v>47</v>
      </c>
      <c r="D17" s="26" t="n">
        <v>10700000</v>
      </c>
      <c r="E17" s="13" t="n">
        <v>8000000</v>
      </c>
      <c r="F17" s="14" t="n">
        <f aca="false">D17/E17</f>
        <v>1.3375</v>
      </c>
    </row>
    <row r="18" customFormat="false" ht="13.8" hidden="false" customHeight="false" outlineLevel="0" collapsed="false">
      <c r="B18" s="24"/>
      <c r="C18" s="25" t="s">
        <v>15</v>
      </c>
      <c r="D18" s="26" t="n">
        <v>7200000</v>
      </c>
      <c r="E18" s="13" t="n">
        <v>8000000</v>
      </c>
      <c r="F18" s="14" t="n">
        <f aca="false">D18/E18</f>
        <v>0.9</v>
      </c>
    </row>
    <row r="19" customFormat="false" ht="13.8" hidden="false" customHeight="false" outlineLevel="0" collapsed="false">
      <c r="B19" s="24"/>
      <c r="C19" s="25" t="s">
        <v>31</v>
      </c>
      <c r="D19" s="26" t="n">
        <v>4550000</v>
      </c>
      <c r="E19" s="13" t="n">
        <v>8000000</v>
      </c>
      <c r="F19" s="14" t="n">
        <f aca="false">D19/E19</f>
        <v>0.56875</v>
      </c>
    </row>
    <row r="20" customFormat="false" ht="13.8" hidden="false" customHeight="false" outlineLevel="0" collapsed="false">
      <c r="B20" s="24"/>
      <c r="C20" s="25" t="s">
        <v>35</v>
      </c>
      <c r="D20" s="26" t="n">
        <v>1200000</v>
      </c>
      <c r="E20" s="13" t="n">
        <v>8000000</v>
      </c>
      <c r="F20" s="14" t="n">
        <f aca="false">D20/E20</f>
        <v>0.15</v>
      </c>
    </row>
    <row r="21" customFormat="false" ht="13.8" hidden="false" customHeight="false" outlineLevel="0" collapsed="false">
      <c r="B21" s="24"/>
      <c r="C21" s="25" t="s">
        <v>49</v>
      </c>
      <c r="D21" s="26" t="n">
        <v>1600000</v>
      </c>
      <c r="E21" s="13" t="n">
        <v>8000000</v>
      </c>
      <c r="F21" s="14" t="n">
        <f aca="false">D21/E21</f>
        <v>0.2</v>
      </c>
    </row>
    <row r="22" customFormat="false" ht="13.8" hidden="false" customHeight="false" outlineLevel="0" collapsed="false">
      <c r="B22" s="30"/>
      <c r="C22" s="31" t="s">
        <v>12</v>
      </c>
      <c r="D22" s="27" t="n">
        <v>13450000</v>
      </c>
      <c r="E22" s="13" t="n">
        <v>8000000</v>
      </c>
      <c r="F22" s="14" t="n">
        <f aca="false">D22/E22</f>
        <v>1.68125</v>
      </c>
    </row>
    <row r="23" customFormat="false" ht="13.8" hidden="false" customHeight="false" outlineLevel="0" collapsed="false">
      <c r="B23" s="20" t="s">
        <v>9</v>
      </c>
      <c r="C23" s="21" t="s">
        <v>7</v>
      </c>
      <c r="D23" s="22" t="n">
        <v>11750000</v>
      </c>
      <c r="E23" s="13" t="n">
        <v>10000000</v>
      </c>
      <c r="F23" s="14" t="n">
        <f aca="false">D23/E23</f>
        <v>1.175</v>
      </c>
    </row>
    <row r="24" customFormat="false" ht="13.8" hidden="false" customHeight="false" outlineLevel="0" collapsed="false">
      <c r="B24" s="24"/>
      <c r="C24" s="25" t="s">
        <v>17</v>
      </c>
      <c r="D24" s="26" t="n">
        <v>8550000</v>
      </c>
      <c r="E24" s="13" t="n">
        <v>10000000</v>
      </c>
      <c r="F24" s="14" t="n">
        <f aca="false">D24/E24</f>
        <v>0.855</v>
      </c>
    </row>
    <row r="25" customFormat="false" ht="13.8" hidden="false" customHeight="false" outlineLevel="0" collapsed="false">
      <c r="B25" s="24"/>
      <c r="C25" s="25" t="s">
        <v>63</v>
      </c>
      <c r="D25" s="26" t="n">
        <v>4600000</v>
      </c>
      <c r="E25" s="13" t="n">
        <v>10000000</v>
      </c>
      <c r="F25" s="14" t="n">
        <f aca="false">D25/E25</f>
        <v>0.46</v>
      </c>
    </row>
    <row r="26" customFormat="false" ht="13.8" hidden="false" customHeight="false" outlineLevel="0" collapsed="false">
      <c r="B26" s="24"/>
      <c r="C26" s="25" t="s">
        <v>21</v>
      </c>
      <c r="D26" s="26" t="n">
        <v>8000000</v>
      </c>
      <c r="E26" s="13" t="n">
        <v>10000000</v>
      </c>
      <c r="F26" s="14" t="n">
        <f aca="false">D26/E26</f>
        <v>0.8</v>
      </c>
    </row>
    <row r="27" customFormat="false" ht="13.8" hidden="false" customHeight="false" outlineLevel="0" collapsed="false">
      <c r="B27" s="24"/>
      <c r="C27" s="25" t="s">
        <v>65</v>
      </c>
      <c r="D27" s="26" t="n">
        <v>8450000</v>
      </c>
      <c r="E27" s="13" t="n">
        <v>10000000</v>
      </c>
      <c r="F27" s="14" t="n">
        <f aca="false">D27/E27</f>
        <v>0.845</v>
      </c>
    </row>
    <row r="28" customFormat="false" ht="13.8" hidden="false" customHeight="false" outlineLevel="0" collapsed="false">
      <c r="B28" s="24"/>
      <c r="C28" s="25" t="s">
        <v>43</v>
      </c>
      <c r="D28" s="26" t="n">
        <v>9350000</v>
      </c>
      <c r="E28" s="13" t="n">
        <v>10000000</v>
      </c>
      <c r="F28" s="14" t="n">
        <f aca="false">D28/E28</f>
        <v>0.935</v>
      </c>
    </row>
    <row r="29" customFormat="false" ht="13.8" hidden="false" customHeight="false" outlineLevel="0" collapsed="false">
      <c r="B29" s="24"/>
      <c r="C29" s="25" t="s">
        <v>69</v>
      </c>
      <c r="D29" s="26" t="n">
        <v>3650000</v>
      </c>
      <c r="E29" s="13" t="n">
        <v>10000000</v>
      </c>
      <c r="F29" s="14" t="n">
        <f aca="false">D29/E29</f>
        <v>0.365</v>
      </c>
    </row>
    <row r="30" customFormat="false" ht="13.8" hidden="false" customHeight="false" outlineLevel="0" collapsed="false">
      <c r="B30" s="24"/>
      <c r="C30" s="25" t="s">
        <v>51</v>
      </c>
      <c r="D30" s="26" t="n">
        <v>20250000</v>
      </c>
      <c r="E30" s="13" t="n">
        <v>10000000</v>
      </c>
      <c r="F30" s="14" t="n">
        <f aca="false">D30/E30</f>
        <v>2.025</v>
      </c>
    </row>
    <row r="31" customFormat="false" ht="13.8" hidden="false" customHeight="false" outlineLevel="0" collapsed="false">
      <c r="B31" s="24"/>
      <c r="C31" s="25" t="s">
        <v>25</v>
      </c>
      <c r="D31" s="26" t="n">
        <v>28550000</v>
      </c>
      <c r="E31" s="13" t="n">
        <v>10000000</v>
      </c>
      <c r="F31" s="14" t="n">
        <f aca="false">D31/E31</f>
        <v>2.855</v>
      </c>
    </row>
    <row r="32" customFormat="false" ht="13.8" hidden="false" customHeight="false" outlineLevel="0" collapsed="false">
      <c r="B32" s="30"/>
      <c r="C32" s="31" t="s">
        <v>53</v>
      </c>
      <c r="D32" s="27" t="n">
        <v>3450000</v>
      </c>
      <c r="E32" s="13" t="n">
        <v>10000000</v>
      </c>
      <c r="F32" s="14" t="n">
        <f aca="false">D32/E32</f>
        <v>0.345</v>
      </c>
    </row>
    <row r="33" customFormat="false" ht="13.8" hidden="false" customHeight="false" outlineLevel="0" collapsed="false">
      <c r="B33" s="32" t="s">
        <v>91</v>
      </c>
      <c r="C33" s="33"/>
      <c r="D33" s="29" t="n">
        <v>261100000</v>
      </c>
      <c r="E33" s="1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2" activeCellId="0" sqref="B32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3" min="3" style="13" width="18.35"/>
    <col collapsed="false" customWidth="true" hidden="false" outlineLevel="0" max="4" min="4" style="0" width="15.19"/>
  </cols>
  <sheetData>
    <row r="1" customFormat="false" ht="13.8" hidden="false" customHeight="false" outlineLevel="0" collapsed="false">
      <c r="A1" s="34" t="s">
        <v>77</v>
      </c>
      <c r="B1" s="34" t="s">
        <v>0</v>
      </c>
      <c r="C1" s="35" t="s">
        <v>88</v>
      </c>
      <c r="D1" s="0" t="s">
        <v>89</v>
      </c>
      <c r="E1" s="0" t="s">
        <v>90</v>
      </c>
    </row>
    <row r="2" customFormat="false" ht="13.8" hidden="false" customHeight="false" outlineLevel="0" collapsed="false">
      <c r="A2" s="36" t="s">
        <v>6</v>
      </c>
      <c r="B2" s="37" t="s">
        <v>29</v>
      </c>
      <c r="C2" s="38" t="n">
        <v>4700000</v>
      </c>
      <c r="D2" s="13" t="n">
        <v>7500000</v>
      </c>
      <c r="E2" s="14" t="n">
        <f aca="false">C2/D2</f>
        <v>0.626666666666667</v>
      </c>
    </row>
    <row r="3" customFormat="false" ht="13.8" hidden="false" customHeight="false" outlineLevel="0" collapsed="false">
      <c r="A3" s="36" t="s">
        <v>6</v>
      </c>
      <c r="B3" s="37" t="s">
        <v>67</v>
      </c>
      <c r="C3" s="38" t="n">
        <v>5350000</v>
      </c>
      <c r="D3" s="13" t="n">
        <v>7500000</v>
      </c>
      <c r="E3" s="14" t="n">
        <f aca="false">C3/D3</f>
        <v>0.713333333333333</v>
      </c>
    </row>
    <row r="4" customFormat="false" ht="13.8" hidden="false" customHeight="false" outlineLevel="0" collapsed="false">
      <c r="A4" s="36" t="s">
        <v>6</v>
      </c>
      <c r="B4" s="37" t="s">
        <v>59</v>
      </c>
      <c r="C4" s="38" t="n">
        <v>2300000</v>
      </c>
      <c r="D4" s="13" t="n">
        <v>7500000</v>
      </c>
      <c r="E4" s="14" t="n">
        <f aca="false">C4/D4</f>
        <v>0.306666666666667</v>
      </c>
    </row>
    <row r="5" customFormat="false" ht="13.8" hidden="false" customHeight="false" outlineLevel="0" collapsed="false">
      <c r="A5" s="36" t="s">
        <v>6</v>
      </c>
      <c r="B5" s="37" t="s">
        <v>45</v>
      </c>
      <c r="C5" s="38" t="n">
        <v>15700000</v>
      </c>
      <c r="D5" s="13" t="n">
        <v>7500000</v>
      </c>
      <c r="E5" s="14" t="n">
        <f aca="false">C5/D5</f>
        <v>2.09333333333333</v>
      </c>
    </row>
    <row r="6" customFormat="false" ht="13.8" hidden="false" customHeight="false" outlineLevel="0" collapsed="false">
      <c r="A6" s="36" t="s">
        <v>6</v>
      </c>
      <c r="B6" s="37" t="s">
        <v>23</v>
      </c>
      <c r="C6" s="38" t="n">
        <v>12700000</v>
      </c>
      <c r="D6" s="13" t="n">
        <v>7500000</v>
      </c>
      <c r="E6" s="14" t="n">
        <f aca="false">C6/D6</f>
        <v>1.69333333333333</v>
      </c>
    </row>
    <row r="7" customFormat="false" ht="13.8" hidden="false" customHeight="false" outlineLevel="0" collapsed="false">
      <c r="A7" s="36" t="s">
        <v>6</v>
      </c>
      <c r="B7" s="37" t="s">
        <v>19</v>
      </c>
      <c r="C7" s="38" t="n">
        <v>6750000</v>
      </c>
      <c r="D7" s="13" t="n">
        <v>7500000</v>
      </c>
      <c r="E7" s="14" t="n">
        <f aca="false">C7/D7</f>
        <v>0.9</v>
      </c>
    </row>
    <row r="8" customFormat="false" ht="13.8" hidden="false" customHeight="false" outlineLevel="0" collapsed="false">
      <c r="A8" s="36" t="s">
        <v>6</v>
      </c>
      <c r="B8" s="37" t="s">
        <v>10</v>
      </c>
      <c r="C8" s="38" t="n">
        <v>9050000</v>
      </c>
      <c r="D8" s="13" t="n">
        <v>7500000</v>
      </c>
      <c r="E8" s="14" t="n">
        <f aca="false">C8/D8</f>
        <v>1.20666666666667</v>
      </c>
    </row>
    <row r="9" customFormat="false" ht="13.8" hidden="false" customHeight="false" outlineLevel="0" collapsed="false">
      <c r="A9" s="36" t="s">
        <v>6</v>
      </c>
      <c r="B9" s="37" t="s">
        <v>27</v>
      </c>
      <c r="C9" s="38" t="n">
        <v>0</v>
      </c>
      <c r="D9" s="13" t="n">
        <v>7500000</v>
      </c>
      <c r="E9" s="14" t="n">
        <f aca="false">C9/D9</f>
        <v>0</v>
      </c>
    </row>
    <row r="10" customFormat="false" ht="13.8" hidden="false" customHeight="false" outlineLevel="0" collapsed="false">
      <c r="A10" s="36" t="s">
        <v>6</v>
      </c>
      <c r="B10" s="37" t="s">
        <v>33</v>
      </c>
      <c r="C10" s="38" t="n">
        <v>0</v>
      </c>
      <c r="D10" s="13" t="n">
        <v>7500000</v>
      </c>
      <c r="E10" s="14" t="n">
        <f aca="false">C10/D10</f>
        <v>0</v>
      </c>
    </row>
    <row r="11" customFormat="false" ht="13.8" hidden="false" customHeight="false" outlineLevel="0" collapsed="false">
      <c r="A11" s="36" t="s">
        <v>6</v>
      </c>
      <c r="B11" s="37" t="s">
        <v>57</v>
      </c>
      <c r="C11" s="38" t="n">
        <v>4950000</v>
      </c>
      <c r="D11" s="13" t="n">
        <v>7500000</v>
      </c>
      <c r="E11" s="14" t="n">
        <f aca="false">C11/D11</f>
        <v>0.66</v>
      </c>
    </row>
    <row r="12" customFormat="false" ht="13.8" hidden="false" customHeight="false" outlineLevel="0" collapsed="false">
      <c r="A12" s="36" t="s">
        <v>14</v>
      </c>
      <c r="B12" s="37" t="s">
        <v>39</v>
      </c>
      <c r="C12" s="38" t="n">
        <v>950000</v>
      </c>
      <c r="D12" s="13" t="n">
        <v>8000000</v>
      </c>
      <c r="E12" s="14" t="n">
        <f aca="false">C12/D12</f>
        <v>0.11875</v>
      </c>
    </row>
    <row r="13" customFormat="false" ht="13.8" hidden="false" customHeight="false" outlineLevel="0" collapsed="false">
      <c r="A13" s="36" t="s">
        <v>14</v>
      </c>
      <c r="B13" s="37" t="s">
        <v>37</v>
      </c>
      <c r="C13" s="38" t="n">
        <v>30750000</v>
      </c>
      <c r="D13" s="13" t="n">
        <v>8000000</v>
      </c>
      <c r="E13" s="14" t="n">
        <f aca="false">C13/D13</f>
        <v>3.84375</v>
      </c>
    </row>
    <row r="14" customFormat="false" ht="13.8" hidden="false" customHeight="false" outlineLevel="0" collapsed="false">
      <c r="A14" s="36" t="s">
        <v>14</v>
      </c>
      <c r="B14" s="37" t="s">
        <v>61</v>
      </c>
      <c r="C14" s="38" t="n">
        <v>22600000</v>
      </c>
      <c r="D14" s="13" t="n">
        <v>8000000</v>
      </c>
      <c r="E14" s="14" t="n">
        <f aca="false">C14/D14</f>
        <v>2.825</v>
      </c>
    </row>
    <row r="15" customFormat="false" ht="13.8" hidden="false" customHeight="false" outlineLevel="0" collapsed="false">
      <c r="A15" s="36" t="s">
        <v>14</v>
      </c>
      <c r="B15" s="37" t="s">
        <v>47</v>
      </c>
      <c r="C15" s="38" t="n">
        <v>10700000</v>
      </c>
      <c r="D15" s="13" t="n">
        <v>8000000</v>
      </c>
      <c r="E15" s="14" t="n">
        <f aca="false">C15/D15</f>
        <v>1.3375</v>
      </c>
    </row>
    <row r="16" customFormat="false" ht="13.8" hidden="false" customHeight="false" outlineLevel="0" collapsed="false">
      <c r="A16" s="36" t="s">
        <v>14</v>
      </c>
      <c r="B16" s="37" t="s">
        <v>15</v>
      </c>
      <c r="C16" s="38" t="n">
        <v>7200000</v>
      </c>
      <c r="D16" s="13" t="n">
        <v>8000000</v>
      </c>
      <c r="E16" s="14" t="n">
        <f aca="false">C16/D16</f>
        <v>0.9</v>
      </c>
    </row>
    <row r="17" customFormat="false" ht="13.8" hidden="false" customHeight="false" outlineLevel="0" collapsed="false">
      <c r="A17" s="36" t="s">
        <v>14</v>
      </c>
      <c r="B17" s="37" t="s">
        <v>31</v>
      </c>
      <c r="C17" s="38" t="n">
        <v>4550000</v>
      </c>
      <c r="D17" s="13" t="n">
        <v>8000000</v>
      </c>
      <c r="E17" s="14" t="n">
        <f aca="false">C17/D17</f>
        <v>0.56875</v>
      </c>
    </row>
    <row r="18" customFormat="false" ht="13.8" hidden="false" customHeight="false" outlineLevel="0" collapsed="false">
      <c r="A18" s="36" t="s">
        <v>14</v>
      </c>
      <c r="B18" s="37" t="s">
        <v>35</v>
      </c>
      <c r="C18" s="38" t="n">
        <v>1200000</v>
      </c>
      <c r="D18" s="13" t="n">
        <v>8000000</v>
      </c>
      <c r="E18" s="14" t="n">
        <f aca="false">C18/D18</f>
        <v>0.15</v>
      </c>
    </row>
    <row r="19" customFormat="false" ht="13.8" hidden="false" customHeight="false" outlineLevel="0" collapsed="false">
      <c r="A19" s="36" t="s">
        <v>14</v>
      </c>
      <c r="B19" s="37" t="s">
        <v>49</v>
      </c>
      <c r="C19" s="38" t="n">
        <v>1600000</v>
      </c>
      <c r="D19" s="13" t="n">
        <v>8000000</v>
      </c>
      <c r="E19" s="14" t="n">
        <f aca="false">C19/D19</f>
        <v>0.2</v>
      </c>
    </row>
    <row r="20" customFormat="false" ht="13.8" hidden="false" customHeight="false" outlineLevel="0" collapsed="false">
      <c r="A20" s="36" t="s">
        <v>14</v>
      </c>
      <c r="B20" s="37" t="s">
        <v>12</v>
      </c>
      <c r="C20" s="38" t="n">
        <v>13450000</v>
      </c>
      <c r="D20" s="13" t="n">
        <v>8000000</v>
      </c>
      <c r="E20" s="14" t="n">
        <f aca="false">C20/D20</f>
        <v>1.68125</v>
      </c>
    </row>
    <row r="21" customFormat="false" ht="13.8" hidden="false" customHeight="false" outlineLevel="0" collapsed="false">
      <c r="A21" s="36" t="s">
        <v>14</v>
      </c>
      <c r="B21" s="37" t="s">
        <v>41</v>
      </c>
      <c r="C21" s="38" t="n">
        <v>0</v>
      </c>
      <c r="D21" s="13" t="n">
        <v>8000000</v>
      </c>
      <c r="E21" s="14" t="n">
        <f aca="false">C21/D21</f>
        <v>0</v>
      </c>
    </row>
    <row r="22" customFormat="false" ht="13.8" hidden="false" customHeight="false" outlineLevel="0" collapsed="false">
      <c r="A22" s="36" t="s">
        <v>14</v>
      </c>
      <c r="B22" s="37" t="s">
        <v>55</v>
      </c>
      <c r="C22" s="38" t="n">
        <v>0</v>
      </c>
      <c r="D22" s="13" t="n">
        <v>8000000</v>
      </c>
      <c r="E22" s="14" t="n">
        <f aca="false">C22/D22</f>
        <v>0</v>
      </c>
    </row>
    <row r="23" customFormat="false" ht="13.8" hidden="false" customHeight="false" outlineLevel="0" collapsed="false">
      <c r="A23" s="36" t="s">
        <v>9</v>
      </c>
      <c r="B23" s="37" t="s">
        <v>7</v>
      </c>
      <c r="C23" s="38" t="n">
        <v>11750000</v>
      </c>
      <c r="D23" s="13" t="n">
        <v>10000000</v>
      </c>
      <c r="E23" s="14" t="n">
        <f aca="false">C23/D23</f>
        <v>1.175</v>
      </c>
    </row>
    <row r="24" customFormat="false" ht="13.8" hidden="false" customHeight="false" outlineLevel="0" collapsed="false">
      <c r="A24" s="36" t="s">
        <v>9</v>
      </c>
      <c r="B24" s="37" t="s">
        <v>17</v>
      </c>
      <c r="C24" s="38" t="n">
        <v>8550000</v>
      </c>
      <c r="D24" s="13" t="n">
        <v>10000000</v>
      </c>
      <c r="E24" s="14" t="n">
        <f aca="false">C24/D24</f>
        <v>0.855</v>
      </c>
    </row>
    <row r="25" customFormat="false" ht="13.8" hidden="false" customHeight="false" outlineLevel="0" collapsed="false">
      <c r="A25" s="36" t="s">
        <v>9</v>
      </c>
      <c r="B25" s="37" t="s">
        <v>63</v>
      </c>
      <c r="C25" s="38" t="n">
        <v>4600000</v>
      </c>
      <c r="D25" s="13" t="n">
        <v>10000000</v>
      </c>
      <c r="E25" s="14" t="n">
        <f aca="false">C25/D25</f>
        <v>0.46</v>
      </c>
    </row>
    <row r="26" customFormat="false" ht="13.8" hidden="false" customHeight="false" outlineLevel="0" collapsed="false">
      <c r="A26" s="36" t="s">
        <v>9</v>
      </c>
      <c r="B26" s="37" t="s">
        <v>21</v>
      </c>
      <c r="C26" s="38" t="n">
        <v>8000000</v>
      </c>
      <c r="D26" s="13" t="n">
        <v>10000000</v>
      </c>
      <c r="E26" s="14" t="n">
        <f aca="false">C26/D26</f>
        <v>0.8</v>
      </c>
    </row>
    <row r="27" customFormat="false" ht="13.8" hidden="false" customHeight="false" outlineLevel="0" collapsed="false">
      <c r="A27" s="36" t="s">
        <v>9</v>
      </c>
      <c r="B27" s="37" t="s">
        <v>65</v>
      </c>
      <c r="C27" s="38" t="n">
        <v>8450000</v>
      </c>
      <c r="D27" s="13" t="n">
        <v>10000000</v>
      </c>
      <c r="E27" s="14" t="n">
        <f aca="false">C27/D27</f>
        <v>0.845</v>
      </c>
    </row>
    <row r="28" customFormat="false" ht="13.8" hidden="false" customHeight="false" outlineLevel="0" collapsed="false">
      <c r="A28" s="36" t="s">
        <v>9</v>
      </c>
      <c r="B28" s="37" t="s">
        <v>43</v>
      </c>
      <c r="C28" s="38" t="n">
        <v>9350000</v>
      </c>
      <c r="D28" s="13" t="n">
        <v>10000000</v>
      </c>
      <c r="E28" s="14" t="n">
        <f aca="false">C28/D28</f>
        <v>0.935</v>
      </c>
    </row>
    <row r="29" customFormat="false" ht="13.8" hidden="false" customHeight="false" outlineLevel="0" collapsed="false">
      <c r="A29" s="36" t="s">
        <v>9</v>
      </c>
      <c r="B29" s="37" t="s">
        <v>69</v>
      </c>
      <c r="C29" s="38" t="n">
        <v>3650000</v>
      </c>
      <c r="D29" s="13" t="n">
        <v>10000000</v>
      </c>
      <c r="E29" s="14" t="n">
        <f aca="false">C29/D29</f>
        <v>0.365</v>
      </c>
    </row>
    <row r="30" customFormat="false" ht="13.8" hidden="false" customHeight="false" outlineLevel="0" collapsed="false">
      <c r="A30" s="36" t="s">
        <v>9</v>
      </c>
      <c r="B30" s="37" t="s">
        <v>51</v>
      </c>
      <c r="C30" s="38" t="n">
        <v>20250000</v>
      </c>
      <c r="D30" s="13" t="n">
        <v>10000000</v>
      </c>
      <c r="E30" s="14" t="n">
        <f aca="false">C30/D30</f>
        <v>2.025</v>
      </c>
    </row>
    <row r="31" customFormat="false" ht="13.8" hidden="false" customHeight="false" outlineLevel="0" collapsed="false">
      <c r="A31" s="36" t="s">
        <v>9</v>
      </c>
      <c r="B31" s="37" t="s">
        <v>25</v>
      </c>
      <c r="C31" s="38" t="n">
        <v>28550000</v>
      </c>
      <c r="D31" s="13" t="n">
        <v>10000000</v>
      </c>
      <c r="E31" s="14" t="n">
        <f aca="false">C31/D31</f>
        <v>2.855</v>
      </c>
    </row>
    <row r="32" customFormat="false" ht="13.8" hidden="false" customHeight="false" outlineLevel="0" collapsed="false">
      <c r="A32" s="36" t="s">
        <v>9</v>
      </c>
      <c r="B32" s="37" t="s">
        <v>53</v>
      </c>
      <c r="C32" s="38" t="n">
        <v>3450000</v>
      </c>
      <c r="D32" s="13" t="n">
        <v>10000000</v>
      </c>
      <c r="E32" s="14" t="n">
        <f aca="false">C32/D32</f>
        <v>0.345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2023-01-06T15:36:19Z</dcterms:created>
  <dc:creator>Michael Tintěra</dc:creator>
  <dc:description/>
  <dc:language>en-US</dc:language>
  <cp:lastModifiedBy/>
  <dcterms:modified xsi:type="dcterms:W3CDTF">2025-11-24T09:45:18Z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